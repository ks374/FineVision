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henghang\FineVision\"/>
    </mc:Choice>
  </mc:AlternateContent>
  <xr:revisionPtr revIDLastSave="0" documentId="13_ncr:1_{EF1D7AEA-E8B8-4B90-8B97-52575A01A5F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ummary" sheetId="1" r:id="rId1"/>
    <sheet name="R" sheetId="2" r:id="rId2"/>
    <sheet name="G" sheetId="3" r:id="rId3"/>
    <sheet name="B" sheetId="4" r:id="rId4"/>
    <sheet name="Gray" sheetId="5" r:id="rId5"/>
  </sheets>
  <calcPr calcId="191029"/>
</workbook>
</file>

<file path=xl/calcChain.xml><?xml version="1.0" encoding="utf-8"?>
<calcChain xmlns="http://schemas.openxmlformats.org/spreadsheetml/2006/main">
  <c r="I134" i="5" l="1"/>
  <c r="J166" i="5"/>
  <c r="B189" i="5"/>
  <c r="C189" i="5" s="1"/>
  <c r="D189" i="5" s="1"/>
  <c r="B188" i="5"/>
  <c r="B187" i="5"/>
  <c r="B186" i="5"/>
  <c r="C186" i="5" s="1"/>
  <c r="D186" i="5" s="1"/>
  <c r="B185" i="5"/>
  <c r="I184" i="5"/>
  <c r="J184" i="5" s="1"/>
  <c r="H184" i="5"/>
  <c r="B184" i="5"/>
  <c r="C184" i="5" s="1"/>
  <c r="D184" i="5" s="1"/>
  <c r="C183" i="5"/>
  <c r="D183" i="5" s="1"/>
  <c r="B183" i="5"/>
  <c r="B182" i="5"/>
  <c r="B181" i="5"/>
  <c r="D180" i="5"/>
  <c r="B180" i="5"/>
  <c r="C180" i="5" s="1"/>
  <c r="C179" i="5"/>
  <c r="D179" i="5" s="1"/>
  <c r="B179" i="5"/>
  <c r="B178" i="5"/>
  <c r="G177" i="5"/>
  <c r="C177" i="5"/>
  <c r="D177" i="5" s="1"/>
  <c r="B177" i="5"/>
  <c r="B176" i="5"/>
  <c r="C176" i="5" s="1"/>
  <c r="D176" i="5" s="1"/>
  <c r="F176" i="5" s="1"/>
  <c r="F175" i="5"/>
  <c r="D175" i="5"/>
  <c r="C175" i="5"/>
  <c r="B175" i="5"/>
  <c r="B174" i="5"/>
  <c r="C174" i="5" s="1"/>
  <c r="D174" i="5" s="1"/>
  <c r="E174" i="5" s="1"/>
  <c r="B173" i="5"/>
  <c r="B172" i="5"/>
  <c r="B171" i="5"/>
  <c r="C171" i="5" s="1"/>
  <c r="D171" i="5" s="1"/>
  <c r="E171" i="5" s="1"/>
  <c r="J170" i="5"/>
  <c r="H170" i="5"/>
  <c r="I170" i="5" s="1"/>
  <c r="D170" i="5"/>
  <c r="C170" i="5"/>
  <c r="B170" i="5"/>
  <c r="B169" i="5"/>
  <c r="C169" i="5" s="1"/>
  <c r="D169" i="5" s="1"/>
  <c r="G168" i="5"/>
  <c r="F168" i="5"/>
  <c r="D168" i="5"/>
  <c r="H168" i="5" s="1"/>
  <c r="I168" i="5" s="1"/>
  <c r="J168" i="5" s="1"/>
  <c r="C168" i="5"/>
  <c r="B168" i="5"/>
  <c r="B167" i="5"/>
  <c r="C167" i="5" s="1"/>
  <c r="D167" i="5" s="1"/>
  <c r="B166" i="5"/>
  <c r="C165" i="5"/>
  <c r="D165" i="5" s="1"/>
  <c r="B165" i="5"/>
  <c r="B164" i="5"/>
  <c r="B163" i="5"/>
  <c r="B162" i="5"/>
  <c r="B161" i="5"/>
  <c r="C161" i="5" s="1"/>
  <c r="D161" i="5" s="1"/>
  <c r="C160" i="5"/>
  <c r="D160" i="5" s="1"/>
  <c r="B160" i="5"/>
  <c r="B159" i="5"/>
  <c r="B158" i="5"/>
  <c r="C158" i="5" s="1"/>
  <c r="D158" i="5" s="1"/>
  <c r="B157" i="5"/>
  <c r="H156" i="5"/>
  <c r="I156" i="5" s="1"/>
  <c r="J156" i="5" s="1"/>
  <c r="G156" i="5"/>
  <c r="F156" i="5"/>
  <c r="C156" i="5"/>
  <c r="D156" i="5" s="1"/>
  <c r="E156" i="5" s="1"/>
  <c r="B156" i="5"/>
  <c r="C155" i="5"/>
  <c r="D155" i="5" s="1"/>
  <c r="B155" i="5"/>
  <c r="B154" i="5"/>
  <c r="B153" i="5"/>
  <c r="B152" i="5"/>
  <c r="C152" i="5" s="1"/>
  <c r="D152" i="5" s="1"/>
  <c r="G151" i="5"/>
  <c r="F151" i="5"/>
  <c r="C151" i="5"/>
  <c r="D151" i="5" s="1"/>
  <c r="B151" i="5"/>
  <c r="B150" i="5"/>
  <c r="H149" i="5"/>
  <c r="I149" i="5" s="1"/>
  <c r="J149" i="5" s="1"/>
  <c r="G149" i="5"/>
  <c r="C149" i="5"/>
  <c r="D149" i="5" s="1"/>
  <c r="B149" i="5"/>
  <c r="F148" i="5"/>
  <c r="E148" i="5"/>
  <c r="B148" i="5"/>
  <c r="C148" i="5" s="1"/>
  <c r="D148" i="5" s="1"/>
  <c r="B147" i="5"/>
  <c r="F146" i="5"/>
  <c r="B146" i="5"/>
  <c r="C146" i="5" s="1"/>
  <c r="D146" i="5" s="1"/>
  <c r="E146" i="5" s="1"/>
  <c r="B145" i="5"/>
  <c r="B144" i="5"/>
  <c r="C144" i="5" s="1"/>
  <c r="D144" i="5" s="1"/>
  <c r="B143" i="5"/>
  <c r="C143" i="5" s="1"/>
  <c r="D143" i="5" s="1"/>
  <c r="H143" i="5" s="1"/>
  <c r="I143" i="5" s="1"/>
  <c r="J143" i="5" s="1"/>
  <c r="D142" i="5"/>
  <c r="H142" i="5" s="1"/>
  <c r="I142" i="5" s="1"/>
  <c r="J142" i="5" s="1"/>
  <c r="C142" i="5"/>
  <c r="B142" i="5"/>
  <c r="B141" i="5"/>
  <c r="F140" i="5"/>
  <c r="E140" i="5"/>
  <c r="D140" i="5"/>
  <c r="H140" i="5" s="1"/>
  <c r="I140" i="5" s="1"/>
  <c r="J140" i="5" s="1"/>
  <c r="C140" i="5"/>
  <c r="B140" i="5"/>
  <c r="C139" i="5"/>
  <c r="D139" i="5" s="1"/>
  <c r="B139" i="5"/>
  <c r="C138" i="5"/>
  <c r="D138" i="5" s="1"/>
  <c r="B138" i="5"/>
  <c r="C137" i="5"/>
  <c r="D137" i="5" s="1"/>
  <c r="B137" i="5"/>
  <c r="B136" i="5"/>
  <c r="B135" i="5"/>
  <c r="C135" i="5" s="1"/>
  <c r="D135" i="5" s="1"/>
  <c r="B134" i="5"/>
  <c r="B133" i="5"/>
  <c r="C133" i="5" s="1"/>
  <c r="D133" i="5" s="1"/>
  <c r="B132" i="5"/>
  <c r="H131" i="5"/>
  <c r="I131" i="5" s="1"/>
  <c r="D131" i="5"/>
  <c r="C131" i="5"/>
  <c r="B131" i="5"/>
  <c r="D130" i="5"/>
  <c r="B130" i="5"/>
  <c r="C130" i="5" s="1"/>
  <c r="C129" i="5"/>
  <c r="D129" i="5" s="1"/>
  <c r="G129" i="5" s="1"/>
  <c r="B129" i="5"/>
  <c r="B128" i="5"/>
  <c r="E127" i="5"/>
  <c r="C127" i="5"/>
  <c r="D127" i="5" s="1"/>
  <c r="B127" i="5"/>
  <c r="B126" i="5"/>
  <c r="H125" i="5"/>
  <c r="I125" i="5" s="1"/>
  <c r="J125" i="5" s="1"/>
  <c r="C125" i="5"/>
  <c r="D125" i="5" s="1"/>
  <c r="G125" i="5" s="1"/>
  <c r="B125" i="5"/>
  <c r="B124" i="5"/>
  <c r="C124" i="5" s="1"/>
  <c r="D124" i="5" s="1"/>
  <c r="C123" i="5"/>
  <c r="D123" i="5" s="1"/>
  <c r="B123" i="5"/>
  <c r="B122" i="5"/>
  <c r="H121" i="5"/>
  <c r="I121" i="5" s="1"/>
  <c r="J121" i="5" s="1"/>
  <c r="G121" i="5"/>
  <c r="C121" i="5"/>
  <c r="D121" i="5" s="1"/>
  <c r="B121" i="5"/>
  <c r="B120" i="5"/>
  <c r="C120" i="5" s="1"/>
  <c r="D120" i="5" s="1"/>
  <c r="C119" i="5"/>
  <c r="D119" i="5" s="1"/>
  <c r="B119" i="5"/>
  <c r="B118" i="5"/>
  <c r="B117" i="5"/>
  <c r="C116" i="5"/>
  <c r="D116" i="5" s="1"/>
  <c r="B116" i="5"/>
  <c r="B115" i="5"/>
  <c r="C115" i="5" s="1"/>
  <c r="D115" i="5" s="1"/>
  <c r="H115" i="5" s="1"/>
  <c r="I115" i="5" s="1"/>
  <c r="J115" i="5" s="1"/>
  <c r="C114" i="5"/>
  <c r="D114" i="5" s="1"/>
  <c r="B114" i="5"/>
  <c r="F113" i="5"/>
  <c r="D113" i="5"/>
  <c r="C113" i="5"/>
  <c r="B113" i="5"/>
  <c r="D112" i="5"/>
  <c r="C112" i="5"/>
  <c r="B112" i="5"/>
  <c r="B111" i="5"/>
  <c r="B110" i="5"/>
  <c r="B109" i="5"/>
  <c r="B108" i="5"/>
  <c r="H107" i="5"/>
  <c r="I107" i="5" s="1"/>
  <c r="J107" i="5" s="1"/>
  <c r="B107" i="5"/>
  <c r="C107" i="5" s="1"/>
  <c r="D107" i="5" s="1"/>
  <c r="B106" i="5"/>
  <c r="B105" i="5"/>
  <c r="C105" i="5" s="1"/>
  <c r="D105" i="5" s="1"/>
  <c r="C104" i="5"/>
  <c r="D104" i="5" s="1"/>
  <c r="B104" i="5"/>
  <c r="C103" i="5"/>
  <c r="D103" i="5" s="1"/>
  <c r="B103" i="5"/>
  <c r="B102" i="5"/>
  <c r="C102" i="5" s="1"/>
  <c r="D102" i="5" s="1"/>
  <c r="B101" i="5"/>
  <c r="H100" i="5"/>
  <c r="I100" i="5" s="1"/>
  <c r="J100" i="5" s="1"/>
  <c r="G100" i="5"/>
  <c r="F100" i="5"/>
  <c r="D100" i="5"/>
  <c r="E100" i="5" s="1"/>
  <c r="C100" i="5"/>
  <c r="B100" i="5"/>
  <c r="H99" i="5"/>
  <c r="I99" i="5" s="1"/>
  <c r="J99" i="5" s="1"/>
  <c r="E99" i="5"/>
  <c r="C99" i="5"/>
  <c r="D99" i="5" s="1"/>
  <c r="B99" i="5"/>
  <c r="B98" i="5"/>
  <c r="B97" i="5"/>
  <c r="B96" i="5"/>
  <c r="C96" i="5" s="1"/>
  <c r="D96" i="5" s="1"/>
  <c r="C95" i="5"/>
  <c r="D95" i="5" s="1"/>
  <c r="B95" i="5"/>
  <c r="B94" i="5"/>
  <c r="J93" i="5"/>
  <c r="H93" i="5"/>
  <c r="I93" i="5" s="1"/>
  <c r="G93" i="5"/>
  <c r="F93" i="5"/>
  <c r="C93" i="5"/>
  <c r="D93" i="5" s="1"/>
  <c r="E93" i="5" s="1"/>
  <c r="B93" i="5"/>
  <c r="C92" i="5"/>
  <c r="D92" i="5" s="1"/>
  <c r="E92" i="5" s="1"/>
  <c r="B92" i="5"/>
  <c r="C91" i="5"/>
  <c r="D91" i="5" s="1"/>
  <c r="G91" i="5" s="1"/>
  <c r="B91" i="5"/>
  <c r="B90" i="5"/>
  <c r="C90" i="5" s="1"/>
  <c r="D90" i="5" s="1"/>
  <c r="H90" i="5" s="1"/>
  <c r="I90" i="5" s="1"/>
  <c r="B89" i="5"/>
  <c r="B88" i="5"/>
  <c r="C88" i="5" s="1"/>
  <c r="D88" i="5" s="1"/>
  <c r="B87" i="5"/>
  <c r="C87" i="5" s="1"/>
  <c r="D87" i="5" s="1"/>
  <c r="C86" i="5"/>
  <c r="D86" i="5" s="1"/>
  <c r="B86" i="5"/>
  <c r="B85" i="5"/>
  <c r="C84" i="5"/>
  <c r="D84" i="5" s="1"/>
  <c r="B84" i="5"/>
  <c r="C83" i="5"/>
  <c r="D83" i="5" s="1"/>
  <c r="B83" i="5"/>
  <c r="C82" i="5"/>
  <c r="D82" i="5" s="1"/>
  <c r="B82" i="5"/>
  <c r="C81" i="5"/>
  <c r="D81" i="5" s="1"/>
  <c r="B81" i="5"/>
  <c r="B80" i="5"/>
  <c r="B79" i="5"/>
  <c r="C78" i="5"/>
  <c r="D78" i="5" s="1"/>
  <c r="B78" i="5"/>
  <c r="B77" i="5"/>
  <c r="C77" i="5" s="1"/>
  <c r="D77" i="5" s="1"/>
  <c r="D76" i="5"/>
  <c r="B76" i="5"/>
  <c r="C76" i="5" s="1"/>
  <c r="C75" i="5"/>
  <c r="D75" i="5" s="1"/>
  <c r="B75" i="5"/>
  <c r="F74" i="5"/>
  <c r="D74" i="5"/>
  <c r="C74" i="5"/>
  <c r="B74" i="5"/>
  <c r="B73" i="5"/>
  <c r="C72" i="5"/>
  <c r="D72" i="5" s="1"/>
  <c r="G72" i="5" s="1"/>
  <c r="B72" i="5"/>
  <c r="E71" i="5"/>
  <c r="C71" i="5"/>
  <c r="D71" i="5" s="1"/>
  <c r="B71" i="5"/>
  <c r="B70" i="5"/>
  <c r="B69" i="5"/>
  <c r="B68" i="5"/>
  <c r="C68" i="5" s="1"/>
  <c r="D68" i="5" s="1"/>
  <c r="F67" i="5"/>
  <c r="D67" i="5"/>
  <c r="C67" i="5"/>
  <c r="B67" i="5"/>
  <c r="D66" i="5"/>
  <c r="H66" i="5" s="1"/>
  <c r="I66" i="5" s="1"/>
  <c r="J66" i="5" s="1"/>
  <c r="C66" i="5"/>
  <c r="B66" i="5"/>
  <c r="C65" i="5"/>
  <c r="D65" i="5" s="1"/>
  <c r="E65" i="5" s="1"/>
  <c r="B65" i="5"/>
  <c r="B64" i="5"/>
  <c r="B63" i="5"/>
  <c r="H62" i="5"/>
  <c r="I62" i="5" s="1"/>
  <c r="J62" i="5" s="1"/>
  <c r="G62" i="5"/>
  <c r="F62" i="5"/>
  <c r="E62" i="5"/>
  <c r="B62" i="5"/>
  <c r="C62" i="5" s="1"/>
  <c r="D62" i="5" s="1"/>
  <c r="B61" i="5"/>
  <c r="B60" i="5"/>
  <c r="D59" i="5"/>
  <c r="H59" i="5" s="1"/>
  <c r="I59" i="5" s="1"/>
  <c r="J59" i="5" s="1"/>
  <c r="B59" i="5"/>
  <c r="C59" i="5" s="1"/>
  <c r="H58" i="5"/>
  <c r="I58" i="5" s="1"/>
  <c r="J58" i="5" s="1"/>
  <c r="C58" i="5"/>
  <c r="D58" i="5" s="1"/>
  <c r="B58" i="5"/>
  <c r="B57" i="5"/>
  <c r="C57" i="5" s="1"/>
  <c r="D57" i="5" s="1"/>
  <c r="C56" i="5"/>
  <c r="D56" i="5" s="1"/>
  <c r="B56" i="5"/>
  <c r="B55" i="5"/>
  <c r="B54" i="5"/>
  <c r="C54" i="5" s="1"/>
  <c r="D54" i="5" s="1"/>
  <c r="B53" i="5"/>
  <c r="C53" i="5" s="1"/>
  <c r="D53" i="5" s="1"/>
  <c r="B52" i="5"/>
  <c r="B51" i="5"/>
  <c r="B50" i="5"/>
  <c r="G49" i="5"/>
  <c r="E49" i="5"/>
  <c r="B49" i="5"/>
  <c r="C49" i="5" s="1"/>
  <c r="D49" i="5" s="1"/>
  <c r="B48" i="5"/>
  <c r="B47" i="5"/>
  <c r="D46" i="5"/>
  <c r="F46" i="5" s="1"/>
  <c r="C46" i="5"/>
  <c r="B46" i="5"/>
  <c r="H45" i="5"/>
  <c r="I45" i="5" s="1"/>
  <c r="F45" i="5"/>
  <c r="E45" i="5"/>
  <c r="C45" i="5"/>
  <c r="D45" i="5" s="1"/>
  <c r="G45" i="5" s="1"/>
  <c r="B45" i="5"/>
  <c r="C44" i="5"/>
  <c r="D44" i="5" s="1"/>
  <c r="B44" i="5"/>
  <c r="H43" i="5"/>
  <c r="I43" i="5" s="1"/>
  <c r="J43" i="5" s="1"/>
  <c r="C43" i="5"/>
  <c r="D43" i="5" s="1"/>
  <c r="B43" i="5"/>
  <c r="B42" i="5"/>
  <c r="H41" i="5"/>
  <c r="I41" i="5" s="1"/>
  <c r="J41" i="5" s="1"/>
  <c r="G41" i="5"/>
  <c r="F41" i="5"/>
  <c r="E41" i="5"/>
  <c r="D41" i="5"/>
  <c r="C41" i="5"/>
  <c r="B41" i="5"/>
  <c r="B40" i="5"/>
  <c r="C39" i="5"/>
  <c r="D39" i="5" s="1"/>
  <c r="B39" i="5"/>
  <c r="C38" i="5"/>
  <c r="D38" i="5" s="1"/>
  <c r="B38" i="5"/>
  <c r="H37" i="5"/>
  <c r="I37" i="5" s="1"/>
  <c r="J37" i="5" s="1"/>
  <c r="G37" i="5"/>
  <c r="F37" i="5"/>
  <c r="C37" i="5"/>
  <c r="D37" i="5" s="1"/>
  <c r="E37" i="5" s="1"/>
  <c r="B37" i="5"/>
  <c r="B36" i="5"/>
  <c r="C35" i="5"/>
  <c r="D35" i="5" s="1"/>
  <c r="B35" i="5"/>
  <c r="B34" i="5"/>
  <c r="B33" i="5"/>
  <c r="B32" i="5"/>
  <c r="C32" i="5" s="1"/>
  <c r="D32" i="5" s="1"/>
  <c r="B31" i="5"/>
  <c r="C31" i="5" s="1"/>
  <c r="D31" i="5" s="1"/>
  <c r="C30" i="5"/>
  <c r="D30" i="5" s="1"/>
  <c r="B30" i="5"/>
  <c r="B29" i="5"/>
  <c r="C28" i="5"/>
  <c r="D28" i="5" s="1"/>
  <c r="B28" i="5"/>
  <c r="B27" i="5"/>
  <c r="C26" i="5"/>
  <c r="D26" i="5" s="1"/>
  <c r="B26" i="5"/>
  <c r="B25" i="5"/>
  <c r="C25" i="5" s="1"/>
  <c r="D25" i="5" s="1"/>
  <c r="B24" i="5"/>
  <c r="B23" i="5"/>
  <c r="B22" i="5"/>
  <c r="C22" i="5" s="1"/>
  <c r="D22" i="5" s="1"/>
  <c r="G21" i="5"/>
  <c r="B21" i="5"/>
  <c r="C21" i="5" s="1"/>
  <c r="D21" i="5" s="1"/>
  <c r="G20" i="5"/>
  <c r="F20" i="5"/>
  <c r="D20" i="5"/>
  <c r="C20" i="5"/>
  <c r="B20" i="5"/>
  <c r="C19" i="5"/>
  <c r="D19" i="5" s="1"/>
  <c r="B19" i="5"/>
  <c r="F18" i="5"/>
  <c r="D18" i="5"/>
  <c r="C18" i="5"/>
  <c r="B18" i="5"/>
  <c r="H17" i="5"/>
  <c r="I17" i="5" s="1"/>
  <c r="C17" i="5"/>
  <c r="D17" i="5" s="1"/>
  <c r="G17" i="5" s="1"/>
  <c r="B17" i="5"/>
  <c r="B16" i="5"/>
  <c r="C16" i="5" s="1"/>
  <c r="D16" i="5" s="1"/>
  <c r="F16" i="5" s="1"/>
  <c r="C15" i="5"/>
  <c r="D15" i="5" s="1"/>
  <c r="B15" i="5"/>
  <c r="B14" i="5"/>
  <c r="B13" i="5"/>
  <c r="H12" i="5"/>
  <c r="I12" i="5" s="1"/>
  <c r="J12" i="5" s="1"/>
  <c r="G12" i="5"/>
  <c r="D12" i="5"/>
  <c r="B12" i="5"/>
  <c r="C12" i="5" s="1"/>
  <c r="C11" i="5"/>
  <c r="D11" i="5" s="1"/>
  <c r="B11" i="5"/>
  <c r="B10" i="5"/>
  <c r="G9" i="5"/>
  <c r="F9" i="5"/>
  <c r="C9" i="5"/>
  <c r="D9" i="5" s="1"/>
  <c r="E9" i="5" s="1"/>
  <c r="B9" i="5"/>
  <c r="C8" i="5"/>
  <c r="D8" i="5" s="1"/>
  <c r="B8" i="5"/>
  <c r="B7" i="5"/>
  <c r="G27" i="4"/>
  <c r="F27" i="4"/>
  <c r="E27" i="4"/>
  <c r="B27" i="4"/>
  <c r="C27" i="4" s="1"/>
  <c r="D27" i="4" s="1"/>
  <c r="E10" i="1" s="1"/>
  <c r="F26" i="4"/>
  <c r="E26" i="4"/>
  <c r="B26" i="4"/>
  <c r="F25" i="4"/>
  <c r="E25" i="4"/>
  <c r="D25" i="4"/>
  <c r="C25" i="4"/>
  <c r="B25" i="4"/>
  <c r="F24" i="4"/>
  <c r="E24" i="4"/>
  <c r="B24" i="4"/>
  <c r="C24" i="4" s="1"/>
  <c r="D24" i="4" s="1"/>
  <c r="F23" i="4"/>
  <c r="E23" i="4"/>
  <c r="C23" i="4"/>
  <c r="D23" i="4" s="1"/>
  <c r="H23" i="4" s="1"/>
  <c r="I23" i="4" s="1"/>
  <c r="J23" i="4" s="1"/>
  <c r="B23" i="4"/>
  <c r="F22" i="4"/>
  <c r="E22" i="4"/>
  <c r="B22" i="4"/>
  <c r="F21" i="4"/>
  <c r="E21" i="4"/>
  <c r="C21" i="4"/>
  <c r="D21" i="4" s="1"/>
  <c r="B21" i="4"/>
  <c r="F20" i="4"/>
  <c r="E20" i="4"/>
  <c r="B20" i="4"/>
  <c r="F19" i="4"/>
  <c r="E19" i="4"/>
  <c r="C19" i="4"/>
  <c r="D19" i="4" s="1"/>
  <c r="B19" i="4"/>
  <c r="F18" i="4"/>
  <c r="E18" i="4"/>
  <c r="C18" i="4"/>
  <c r="D18" i="4" s="1"/>
  <c r="B18" i="4"/>
  <c r="F17" i="4"/>
  <c r="E17" i="4"/>
  <c r="B17" i="4"/>
  <c r="F16" i="4"/>
  <c r="E16" i="4"/>
  <c r="B16" i="4"/>
  <c r="F15" i="4"/>
  <c r="E15" i="4"/>
  <c r="B15" i="4"/>
  <c r="C15" i="4" s="1"/>
  <c r="D15" i="4" s="1"/>
  <c r="J14" i="4"/>
  <c r="G14" i="4"/>
  <c r="F14" i="4"/>
  <c r="E14" i="4"/>
  <c r="D14" i="4"/>
  <c r="H14" i="4" s="1"/>
  <c r="I14" i="4" s="1"/>
  <c r="B14" i="4"/>
  <c r="C14" i="4" s="1"/>
  <c r="F13" i="4"/>
  <c r="E13" i="4"/>
  <c r="B13" i="4"/>
  <c r="F12" i="4"/>
  <c r="E12" i="4"/>
  <c r="B12" i="4"/>
  <c r="C12" i="4" s="1"/>
  <c r="D12" i="4" s="1"/>
  <c r="F11" i="4"/>
  <c r="E11" i="4"/>
  <c r="D11" i="4"/>
  <c r="C11" i="4"/>
  <c r="B11" i="4"/>
  <c r="H10" i="4"/>
  <c r="I10" i="4" s="1"/>
  <c r="F10" i="4"/>
  <c r="E10" i="4"/>
  <c r="D10" i="4"/>
  <c r="G10" i="4" s="1"/>
  <c r="C10" i="4"/>
  <c r="B10" i="4"/>
  <c r="F9" i="4"/>
  <c r="E9" i="4"/>
  <c r="B9" i="4"/>
  <c r="F8" i="4"/>
  <c r="E8" i="4"/>
  <c r="C8" i="4"/>
  <c r="D8" i="4" s="1"/>
  <c r="B8" i="4"/>
  <c r="F7" i="4"/>
  <c r="E7" i="4"/>
  <c r="C7" i="4"/>
  <c r="D7" i="4" s="1"/>
  <c r="B7" i="4"/>
  <c r="J7" i="4" s="1"/>
  <c r="G134" i="3"/>
  <c r="E134" i="3"/>
  <c r="B134" i="3"/>
  <c r="C134" i="3" s="1"/>
  <c r="D134" i="3" s="1"/>
  <c r="G133" i="3"/>
  <c r="E133" i="3"/>
  <c r="B133" i="3"/>
  <c r="G132" i="3"/>
  <c r="E132" i="3"/>
  <c r="C132" i="3"/>
  <c r="D132" i="3" s="1"/>
  <c r="H132" i="3" s="1"/>
  <c r="I132" i="3" s="1"/>
  <c r="B132" i="3"/>
  <c r="G131" i="3"/>
  <c r="E131" i="3"/>
  <c r="D131" i="3"/>
  <c r="H131" i="3" s="1"/>
  <c r="I131" i="3" s="1"/>
  <c r="J131" i="3" s="1"/>
  <c r="C131" i="3"/>
  <c r="B131" i="3"/>
  <c r="G130" i="3"/>
  <c r="E130" i="3"/>
  <c r="C130" i="3"/>
  <c r="D130" i="3" s="1"/>
  <c r="B130" i="3"/>
  <c r="G129" i="3"/>
  <c r="E129" i="3"/>
  <c r="B129" i="3"/>
  <c r="G128" i="3"/>
  <c r="E128" i="3"/>
  <c r="C128" i="3"/>
  <c r="D128" i="3" s="1"/>
  <c r="B128" i="3"/>
  <c r="J127" i="3"/>
  <c r="I127" i="3"/>
  <c r="H127" i="3"/>
  <c r="G127" i="3"/>
  <c r="E127" i="3"/>
  <c r="B127" i="3"/>
  <c r="C127" i="3" s="1"/>
  <c r="D127" i="3" s="1"/>
  <c r="F127" i="3" s="1"/>
  <c r="G126" i="3"/>
  <c r="E126" i="3"/>
  <c r="B126" i="3"/>
  <c r="G125" i="3"/>
  <c r="E125" i="3"/>
  <c r="B125" i="3"/>
  <c r="G124" i="3"/>
  <c r="E124" i="3"/>
  <c r="D124" i="3"/>
  <c r="H124" i="3" s="1"/>
  <c r="I124" i="3" s="1"/>
  <c r="J124" i="3" s="1"/>
  <c r="B124" i="3"/>
  <c r="C124" i="3" s="1"/>
  <c r="G123" i="3"/>
  <c r="E123" i="3"/>
  <c r="C123" i="3"/>
  <c r="D123" i="3" s="1"/>
  <c r="B123" i="3"/>
  <c r="G122" i="3"/>
  <c r="E122" i="3"/>
  <c r="B122" i="3"/>
  <c r="G121" i="3"/>
  <c r="E121" i="3"/>
  <c r="C121" i="3"/>
  <c r="D121" i="3" s="1"/>
  <c r="B121" i="3"/>
  <c r="I120" i="3"/>
  <c r="G120" i="3"/>
  <c r="F120" i="3"/>
  <c r="E120" i="3"/>
  <c r="C120" i="3"/>
  <c r="D120" i="3" s="1"/>
  <c r="H120" i="3" s="1"/>
  <c r="B120" i="3"/>
  <c r="G119" i="3"/>
  <c r="E119" i="3"/>
  <c r="C119" i="3"/>
  <c r="D119" i="3" s="1"/>
  <c r="B119" i="3"/>
  <c r="G118" i="3"/>
  <c r="E118" i="3"/>
  <c r="C118" i="3"/>
  <c r="D118" i="3" s="1"/>
  <c r="B118" i="3"/>
  <c r="G117" i="3"/>
  <c r="E117" i="3"/>
  <c r="B117" i="3"/>
  <c r="J116" i="3"/>
  <c r="H116" i="3"/>
  <c r="I116" i="3" s="1"/>
  <c r="G116" i="3"/>
  <c r="E116" i="3"/>
  <c r="C116" i="3"/>
  <c r="D116" i="3" s="1"/>
  <c r="F116" i="3" s="1"/>
  <c r="B116" i="3"/>
  <c r="G115" i="3"/>
  <c r="E115" i="3"/>
  <c r="B115" i="3"/>
  <c r="C115" i="3" s="1"/>
  <c r="D115" i="3" s="1"/>
  <c r="G114" i="3"/>
  <c r="E114" i="3"/>
  <c r="B114" i="3"/>
  <c r="C114" i="3" s="1"/>
  <c r="D114" i="3" s="1"/>
  <c r="G113" i="3"/>
  <c r="E113" i="3"/>
  <c r="C113" i="3"/>
  <c r="D113" i="3" s="1"/>
  <c r="B113" i="3"/>
  <c r="G112" i="3"/>
  <c r="E112" i="3"/>
  <c r="B112" i="3"/>
  <c r="C112" i="3" s="1"/>
  <c r="D112" i="3" s="1"/>
  <c r="G111" i="3"/>
  <c r="E111" i="3"/>
  <c r="D111" i="3"/>
  <c r="C111" i="3"/>
  <c r="B111" i="3"/>
  <c r="G110" i="3"/>
  <c r="F110" i="3"/>
  <c r="E110" i="3"/>
  <c r="D110" i="3"/>
  <c r="H110" i="3" s="1"/>
  <c r="I110" i="3" s="1"/>
  <c r="C110" i="3"/>
  <c r="B110" i="3"/>
  <c r="G109" i="3"/>
  <c r="E109" i="3"/>
  <c r="C109" i="3"/>
  <c r="D109" i="3" s="1"/>
  <c r="F109" i="3" s="1"/>
  <c r="B109" i="3"/>
  <c r="G108" i="3"/>
  <c r="E108" i="3"/>
  <c r="B108" i="3"/>
  <c r="G107" i="3"/>
  <c r="E107" i="3"/>
  <c r="B107" i="3"/>
  <c r="C107" i="3" s="1"/>
  <c r="D107" i="3" s="1"/>
  <c r="G106" i="3"/>
  <c r="E106" i="3"/>
  <c r="C106" i="3"/>
  <c r="D106" i="3" s="1"/>
  <c r="B106" i="3"/>
  <c r="G105" i="3"/>
  <c r="E105" i="3"/>
  <c r="B105" i="3"/>
  <c r="C105" i="3" s="1"/>
  <c r="D105" i="3" s="1"/>
  <c r="G104" i="3"/>
  <c r="E104" i="3"/>
  <c r="B104" i="3"/>
  <c r="G103" i="3"/>
  <c r="E103" i="3"/>
  <c r="B103" i="3"/>
  <c r="H102" i="3"/>
  <c r="I102" i="3" s="1"/>
  <c r="J102" i="3" s="1"/>
  <c r="G102" i="3"/>
  <c r="F102" i="3"/>
  <c r="E102" i="3"/>
  <c r="C102" i="3"/>
  <c r="D102" i="3" s="1"/>
  <c r="B102" i="3"/>
  <c r="G101" i="3"/>
  <c r="E101" i="3"/>
  <c r="B101" i="3"/>
  <c r="J100" i="3"/>
  <c r="G100" i="3"/>
  <c r="F100" i="3"/>
  <c r="E100" i="3"/>
  <c r="C100" i="3"/>
  <c r="D100" i="3" s="1"/>
  <c r="H100" i="3" s="1"/>
  <c r="I100" i="3" s="1"/>
  <c r="B100" i="3"/>
  <c r="G99" i="3"/>
  <c r="E99" i="3"/>
  <c r="B99" i="3"/>
  <c r="C99" i="3" s="1"/>
  <c r="D99" i="3" s="1"/>
  <c r="H99" i="3" s="1"/>
  <c r="I99" i="3" s="1"/>
  <c r="J99" i="3" s="1"/>
  <c r="G98" i="3"/>
  <c r="E98" i="3"/>
  <c r="B98" i="3"/>
  <c r="G97" i="3"/>
  <c r="E97" i="3"/>
  <c r="B97" i="3"/>
  <c r="G96" i="3"/>
  <c r="E96" i="3"/>
  <c r="B96" i="3"/>
  <c r="C96" i="3" s="1"/>
  <c r="D96" i="3" s="1"/>
  <c r="G95" i="3"/>
  <c r="E95" i="3"/>
  <c r="C95" i="3"/>
  <c r="D95" i="3" s="1"/>
  <c r="B95" i="3"/>
  <c r="G94" i="3"/>
  <c r="E94" i="3"/>
  <c r="B94" i="3"/>
  <c r="C94" i="3" s="1"/>
  <c r="D94" i="3" s="1"/>
  <c r="G93" i="3"/>
  <c r="E93" i="3"/>
  <c r="C93" i="3"/>
  <c r="D93" i="3" s="1"/>
  <c r="H93" i="3" s="1"/>
  <c r="I93" i="3" s="1"/>
  <c r="J93" i="3" s="1"/>
  <c r="B93" i="3"/>
  <c r="I92" i="3"/>
  <c r="G92" i="3"/>
  <c r="E92" i="3"/>
  <c r="C92" i="3"/>
  <c r="D92" i="3" s="1"/>
  <c r="H92" i="3" s="1"/>
  <c r="B92" i="3"/>
  <c r="H91" i="3"/>
  <c r="I91" i="3" s="1"/>
  <c r="G91" i="3"/>
  <c r="F91" i="3"/>
  <c r="E91" i="3"/>
  <c r="D91" i="3"/>
  <c r="C91" i="3"/>
  <c r="B91" i="3"/>
  <c r="G90" i="3"/>
  <c r="E90" i="3"/>
  <c r="B90" i="3"/>
  <c r="G89" i="3"/>
  <c r="E89" i="3"/>
  <c r="B89" i="3"/>
  <c r="G88" i="3"/>
  <c r="E88" i="3"/>
  <c r="B88" i="3"/>
  <c r="C88" i="3" s="1"/>
  <c r="D88" i="3" s="1"/>
  <c r="G87" i="3"/>
  <c r="E87" i="3"/>
  <c r="B87" i="3"/>
  <c r="C87" i="3" s="1"/>
  <c r="D87" i="3" s="1"/>
  <c r="F87" i="3" s="1"/>
  <c r="G86" i="3"/>
  <c r="E86" i="3"/>
  <c r="D86" i="3"/>
  <c r="B86" i="3"/>
  <c r="C86" i="3" s="1"/>
  <c r="G85" i="3"/>
  <c r="E85" i="3"/>
  <c r="C85" i="3"/>
  <c r="D85" i="3" s="1"/>
  <c r="B85" i="3"/>
  <c r="G84" i="3"/>
  <c r="E84" i="3"/>
  <c r="B84" i="3"/>
  <c r="G83" i="3"/>
  <c r="E83" i="3"/>
  <c r="D83" i="3"/>
  <c r="H83" i="3" s="1"/>
  <c r="I83" i="3" s="1"/>
  <c r="J83" i="3" s="1"/>
  <c r="C83" i="3"/>
  <c r="B83" i="3"/>
  <c r="G82" i="3"/>
  <c r="E82" i="3"/>
  <c r="B82" i="3"/>
  <c r="G81" i="3"/>
  <c r="E81" i="3"/>
  <c r="D81" i="3"/>
  <c r="F81" i="3" s="1"/>
  <c r="B81" i="3"/>
  <c r="C81" i="3" s="1"/>
  <c r="G80" i="3"/>
  <c r="E80" i="3"/>
  <c r="B80" i="3"/>
  <c r="C80" i="3" s="1"/>
  <c r="D80" i="3" s="1"/>
  <c r="F80" i="3" s="1"/>
  <c r="G79" i="3"/>
  <c r="E79" i="3"/>
  <c r="B79" i="3"/>
  <c r="G78" i="3"/>
  <c r="E78" i="3"/>
  <c r="B78" i="3"/>
  <c r="G77" i="3"/>
  <c r="E77" i="3"/>
  <c r="B77" i="3"/>
  <c r="G76" i="3"/>
  <c r="E76" i="3"/>
  <c r="C76" i="3"/>
  <c r="D76" i="3" s="1"/>
  <c r="B76" i="3"/>
  <c r="G75" i="3"/>
  <c r="E75" i="3"/>
  <c r="C75" i="3"/>
  <c r="D75" i="3" s="1"/>
  <c r="H75" i="3" s="1"/>
  <c r="I75" i="3" s="1"/>
  <c r="B75" i="3"/>
  <c r="G74" i="3"/>
  <c r="E74" i="3"/>
  <c r="C74" i="3"/>
  <c r="D74" i="3" s="1"/>
  <c r="F74" i="3" s="1"/>
  <c r="B74" i="3"/>
  <c r="G73" i="3"/>
  <c r="E73" i="3"/>
  <c r="C73" i="3"/>
  <c r="D73" i="3" s="1"/>
  <c r="H73" i="3" s="1"/>
  <c r="I73" i="3" s="1"/>
  <c r="J73" i="3" s="1"/>
  <c r="B73" i="3"/>
  <c r="G72" i="3"/>
  <c r="E72" i="3"/>
  <c r="B72" i="3"/>
  <c r="G71" i="3"/>
  <c r="E71" i="3"/>
  <c r="B71" i="3"/>
  <c r="G70" i="3"/>
  <c r="E70" i="3"/>
  <c r="C70" i="3"/>
  <c r="D70" i="3" s="1"/>
  <c r="B70" i="3"/>
  <c r="G69" i="3"/>
  <c r="E69" i="3"/>
  <c r="C69" i="3"/>
  <c r="D69" i="3" s="1"/>
  <c r="F69" i="3" s="1"/>
  <c r="B69" i="3"/>
  <c r="G68" i="3"/>
  <c r="E68" i="3"/>
  <c r="B68" i="3"/>
  <c r="C68" i="3" s="1"/>
  <c r="D68" i="3" s="1"/>
  <c r="H68" i="3" s="1"/>
  <c r="I68" i="3" s="1"/>
  <c r="J68" i="3" s="1"/>
  <c r="G67" i="3"/>
  <c r="E67" i="3"/>
  <c r="B67" i="3"/>
  <c r="G66" i="3"/>
  <c r="E66" i="3"/>
  <c r="C66" i="3"/>
  <c r="D66" i="3" s="1"/>
  <c r="F66" i="3" s="1"/>
  <c r="B66" i="3"/>
  <c r="G65" i="3"/>
  <c r="E65" i="3"/>
  <c r="C65" i="3"/>
  <c r="D65" i="3" s="1"/>
  <c r="B65" i="3"/>
  <c r="G64" i="3"/>
  <c r="E64" i="3"/>
  <c r="B64" i="3"/>
  <c r="G63" i="3"/>
  <c r="E63" i="3"/>
  <c r="B63" i="3"/>
  <c r="G62" i="3"/>
  <c r="E62" i="3"/>
  <c r="B62" i="3"/>
  <c r="C62" i="3" s="1"/>
  <c r="D62" i="3" s="1"/>
  <c r="F62" i="3" s="1"/>
  <c r="G61" i="3"/>
  <c r="E61" i="3"/>
  <c r="B61" i="3"/>
  <c r="G60" i="3"/>
  <c r="E60" i="3"/>
  <c r="B60" i="3"/>
  <c r="C60" i="3" s="1"/>
  <c r="D60" i="3" s="1"/>
  <c r="G59" i="3"/>
  <c r="E59" i="3"/>
  <c r="C59" i="3"/>
  <c r="D59" i="3" s="1"/>
  <c r="B59" i="3"/>
  <c r="G58" i="3"/>
  <c r="E58" i="3"/>
  <c r="B58" i="3"/>
  <c r="C58" i="3" s="1"/>
  <c r="D58" i="3" s="1"/>
  <c r="G57" i="3"/>
  <c r="E57" i="3"/>
  <c r="C57" i="3"/>
  <c r="D57" i="3" s="1"/>
  <c r="B57" i="3"/>
  <c r="G56" i="3"/>
  <c r="E56" i="3"/>
  <c r="B56" i="3"/>
  <c r="I55" i="3"/>
  <c r="J55" i="3" s="1"/>
  <c r="G55" i="3"/>
  <c r="F55" i="3"/>
  <c r="E55" i="3"/>
  <c r="D55" i="3"/>
  <c r="H55" i="3" s="1"/>
  <c r="C55" i="3"/>
  <c r="B55" i="3"/>
  <c r="G54" i="3"/>
  <c r="E54" i="3"/>
  <c r="B54" i="3"/>
  <c r="G53" i="3"/>
  <c r="E53" i="3"/>
  <c r="C53" i="3"/>
  <c r="D53" i="3" s="1"/>
  <c r="B53" i="3"/>
  <c r="G52" i="3"/>
  <c r="E52" i="3"/>
  <c r="B52" i="3"/>
  <c r="G51" i="3"/>
  <c r="E51" i="3"/>
  <c r="C51" i="3"/>
  <c r="D51" i="3" s="1"/>
  <c r="B51" i="3"/>
  <c r="G50" i="3"/>
  <c r="E50" i="3"/>
  <c r="B50" i="3"/>
  <c r="G49" i="3"/>
  <c r="E49" i="3"/>
  <c r="B49" i="3"/>
  <c r="J48" i="3"/>
  <c r="G48" i="3"/>
  <c r="F48" i="3"/>
  <c r="E48" i="3"/>
  <c r="D48" i="3"/>
  <c r="H48" i="3" s="1"/>
  <c r="I48" i="3" s="1"/>
  <c r="C48" i="3"/>
  <c r="B48" i="3"/>
  <c r="G47" i="3"/>
  <c r="E47" i="3"/>
  <c r="C47" i="3"/>
  <c r="D47" i="3" s="1"/>
  <c r="B47" i="3"/>
  <c r="H46" i="3"/>
  <c r="I46" i="3" s="1"/>
  <c r="J46" i="3" s="1"/>
  <c r="G46" i="3"/>
  <c r="E46" i="3"/>
  <c r="C46" i="3"/>
  <c r="D46" i="3" s="1"/>
  <c r="F46" i="3" s="1"/>
  <c r="B46" i="3"/>
  <c r="G45" i="3"/>
  <c r="E45" i="3"/>
  <c r="D45" i="3"/>
  <c r="C45" i="3"/>
  <c r="B45" i="3"/>
  <c r="G44" i="3"/>
  <c r="E44" i="3"/>
  <c r="B44" i="3"/>
  <c r="C44" i="3" s="1"/>
  <c r="D44" i="3" s="1"/>
  <c r="G43" i="3"/>
  <c r="F43" i="3"/>
  <c r="E43" i="3"/>
  <c r="B43" i="3"/>
  <c r="C43" i="3" s="1"/>
  <c r="D43" i="3" s="1"/>
  <c r="H43" i="3" s="1"/>
  <c r="I43" i="3" s="1"/>
  <c r="J43" i="3" s="1"/>
  <c r="G42" i="3"/>
  <c r="E42" i="3"/>
  <c r="B42" i="3"/>
  <c r="I41" i="3"/>
  <c r="J41" i="3" s="1"/>
  <c r="H41" i="3"/>
  <c r="G41" i="3"/>
  <c r="F41" i="3"/>
  <c r="E41" i="3"/>
  <c r="D41" i="3"/>
  <c r="C41" i="3"/>
  <c r="B41" i="3"/>
  <c r="G40" i="3"/>
  <c r="E40" i="3"/>
  <c r="D40" i="3"/>
  <c r="B40" i="3"/>
  <c r="C40" i="3" s="1"/>
  <c r="H39" i="3"/>
  <c r="I39" i="3" s="1"/>
  <c r="G39" i="3"/>
  <c r="E39" i="3"/>
  <c r="C39" i="3"/>
  <c r="D39" i="3" s="1"/>
  <c r="F39" i="3" s="1"/>
  <c r="B39" i="3"/>
  <c r="G38" i="3"/>
  <c r="E38" i="3"/>
  <c r="B38" i="3"/>
  <c r="G37" i="3"/>
  <c r="E37" i="3"/>
  <c r="C37" i="3"/>
  <c r="D37" i="3" s="1"/>
  <c r="B37" i="3"/>
  <c r="G36" i="3"/>
  <c r="E36" i="3"/>
  <c r="B36" i="3"/>
  <c r="C36" i="3" s="1"/>
  <c r="D36" i="3" s="1"/>
  <c r="G35" i="3"/>
  <c r="E35" i="3"/>
  <c r="B35" i="3"/>
  <c r="G34" i="3"/>
  <c r="E34" i="3"/>
  <c r="B34" i="3"/>
  <c r="C34" i="3" s="1"/>
  <c r="D34" i="3" s="1"/>
  <c r="H34" i="3" s="1"/>
  <c r="I34" i="3" s="1"/>
  <c r="J34" i="3" s="1"/>
  <c r="G33" i="3"/>
  <c r="E33" i="3"/>
  <c r="B33" i="3"/>
  <c r="G32" i="3"/>
  <c r="F32" i="3"/>
  <c r="E32" i="3"/>
  <c r="C32" i="3"/>
  <c r="D32" i="3" s="1"/>
  <c r="H32" i="3" s="1"/>
  <c r="I32" i="3" s="1"/>
  <c r="J32" i="3" s="1"/>
  <c r="B32" i="3"/>
  <c r="G31" i="3"/>
  <c r="E31" i="3"/>
  <c r="B31" i="3"/>
  <c r="C31" i="3" s="1"/>
  <c r="D31" i="3" s="1"/>
  <c r="G30" i="3"/>
  <c r="E30" i="3"/>
  <c r="B30" i="3"/>
  <c r="C30" i="3" s="1"/>
  <c r="D30" i="3" s="1"/>
  <c r="G29" i="3"/>
  <c r="E29" i="3"/>
  <c r="B29" i="3"/>
  <c r="G28" i="3"/>
  <c r="E28" i="3"/>
  <c r="B28" i="3"/>
  <c r="I27" i="3"/>
  <c r="J27" i="3" s="1"/>
  <c r="G27" i="3"/>
  <c r="F27" i="3"/>
  <c r="E27" i="3"/>
  <c r="D27" i="3"/>
  <c r="H27" i="3" s="1"/>
  <c r="C27" i="3"/>
  <c r="B27" i="3"/>
  <c r="G26" i="3"/>
  <c r="E26" i="3"/>
  <c r="C26" i="3"/>
  <c r="D26" i="3" s="1"/>
  <c r="B26" i="3"/>
  <c r="G25" i="3"/>
  <c r="E25" i="3"/>
  <c r="C25" i="3"/>
  <c r="D25" i="3" s="1"/>
  <c r="B25" i="3"/>
  <c r="G24" i="3"/>
  <c r="E24" i="3"/>
  <c r="B24" i="3"/>
  <c r="G23" i="3"/>
  <c r="E23" i="3"/>
  <c r="B23" i="3"/>
  <c r="C23" i="3" s="1"/>
  <c r="D23" i="3" s="1"/>
  <c r="F23" i="3" s="1"/>
  <c r="G22" i="3"/>
  <c r="E22" i="3"/>
  <c r="C22" i="3"/>
  <c r="D22" i="3" s="1"/>
  <c r="B22" i="3"/>
  <c r="G21" i="3"/>
  <c r="E21" i="3"/>
  <c r="B21" i="3"/>
  <c r="H20" i="3"/>
  <c r="I20" i="3" s="1"/>
  <c r="J20" i="3" s="1"/>
  <c r="G20" i="3"/>
  <c r="F20" i="3"/>
  <c r="E20" i="3"/>
  <c r="D20" i="3"/>
  <c r="C20" i="3"/>
  <c r="B20" i="3"/>
  <c r="G19" i="3"/>
  <c r="E19" i="3"/>
  <c r="B19" i="3"/>
  <c r="I18" i="3"/>
  <c r="J18" i="3" s="1"/>
  <c r="G18" i="3"/>
  <c r="F18" i="3"/>
  <c r="E18" i="3"/>
  <c r="C18" i="3"/>
  <c r="D18" i="3" s="1"/>
  <c r="H18" i="3" s="1"/>
  <c r="B18" i="3"/>
  <c r="G17" i="3"/>
  <c r="E17" i="3"/>
  <c r="C17" i="3"/>
  <c r="D17" i="3" s="1"/>
  <c r="B17" i="3"/>
  <c r="G16" i="3"/>
  <c r="E16" i="3"/>
  <c r="B16" i="3"/>
  <c r="G15" i="3"/>
  <c r="E15" i="3"/>
  <c r="B15" i="3"/>
  <c r="G14" i="3"/>
  <c r="E14" i="3"/>
  <c r="C14" i="3"/>
  <c r="D14" i="3" s="1"/>
  <c r="B14" i="3"/>
  <c r="G13" i="3"/>
  <c r="E13" i="3"/>
  <c r="B13" i="3"/>
  <c r="C13" i="3" s="1"/>
  <c r="D13" i="3" s="1"/>
  <c r="F13" i="3" s="1"/>
  <c r="G12" i="3"/>
  <c r="E12" i="3"/>
  <c r="C12" i="3"/>
  <c r="D12" i="3" s="1"/>
  <c r="B12" i="3"/>
  <c r="G11" i="3"/>
  <c r="E11" i="3"/>
  <c r="B11" i="3"/>
  <c r="G10" i="3"/>
  <c r="E10" i="3"/>
  <c r="B10" i="3"/>
  <c r="C10" i="3" s="1"/>
  <c r="D10" i="3" s="1"/>
  <c r="F10" i="3" s="1"/>
  <c r="G9" i="3"/>
  <c r="E9" i="3"/>
  <c r="B9" i="3"/>
  <c r="G8" i="3"/>
  <c r="E8" i="3"/>
  <c r="B8" i="3"/>
  <c r="J7" i="3"/>
  <c r="H7" i="3"/>
  <c r="I7" i="3" s="1"/>
  <c r="G7" i="3"/>
  <c r="F7" i="3"/>
  <c r="E7" i="3"/>
  <c r="C7" i="3"/>
  <c r="D7" i="3" s="1"/>
  <c r="B7" i="3"/>
  <c r="G43" i="2"/>
  <c r="F43" i="2"/>
  <c r="C43" i="2"/>
  <c r="D43" i="2" s="1"/>
  <c r="B43" i="2"/>
  <c r="G42" i="2"/>
  <c r="F42" i="2"/>
  <c r="B42" i="2"/>
  <c r="C42" i="2" s="1"/>
  <c r="D42" i="2" s="1"/>
  <c r="G41" i="2"/>
  <c r="F41" i="2"/>
  <c r="C41" i="2"/>
  <c r="D41" i="2" s="1"/>
  <c r="B41" i="2"/>
  <c r="G40" i="2"/>
  <c r="F40" i="2"/>
  <c r="B40" i="2"/>
  <c r="G39" i="2"/>
  <c r="F39" i="2"/>
  <c r="B39" i="2"/>
  <c r="C39" i="2" s="1"/>
  <c r="D39" i="2" s="1"/>
  <c r="G38" i="2"/>
  <c r="F38" i="2"/>
  <c r="B38" i="2"/>
  <c r="G37" i="2"/>
  <c r="F37" i="2"/>
  <c r="B37" i="2"/>
  <c r="C37" i="2" s="1"/>
  <c r="D37" i="2" s="1"/>
  <c r="G36" i="2"/>
  <c r="F36" i="2"/>
  <c r="B36" i="2"/>
  <c r="G35" i="2"/>
  <c r="F35" i="2"/>
  <c r="B35" i="2"/>
  <c r="C35" i="2" s="1"/>
  <c r="D35" i="2" s="1"/>
  <c r="G34" i="2"/>
  <c r="F34" i="2"/>
  <c r="B34" i="2"/>
  <c r="C34" i="2" s="1"/>
  <c r="D34" i="2" s="1"/>
  <c r="G33" i="2"/>
  <c r="F33" i="2"/>
  <c r="B33" i="2"/>
  <c r="G32" i="2"/>
  <c r="F32" i="2"/>
  <c r="B32" i="2"/>
  <c r="I31" i="2"/>
  <c r="J31" i="2" s="1"/>
  <c r="H31" i="2"/>
  <c r="G31" i="2"/>
  <c r="F31" i="2"/>
  <c r="B31" i="2"/>
  <c r="C31" i="2" s="1"/>
  <c r="D31" i="2" s="1"/>
  <c r="E31" i="2" s="1"/>
  <c r="G30" i="2"/>
  <c r="F30" i="2"/>
  <c r="C30" i="2"/>
  <c r="D30" i="2" s="1"/>
  <c r="B30" i="2"/>
  <c r="G29" i="2"/>
  <c r="F29" i="2"/>
  <c r="B29" i="2"/>
  <c r="G28" i="2"/>
  <c r="F28" i="2"/>
  <c r="C28" i="2"/>
  <c r="D28" i="2" s="1"/>
  <c r="B28" i="2"/>
  <c r="G27" i="2"/>
  <c r="F27" i="2"/>
  <c r="C27" i="2"/>
  <c r="D27" i="2" s="1"/>
  <c r="B27" i="2"/>
  <c r="G26" i="2"/>
  <c r="F26" i="2"/>
  <c r="C26" i="2"/>
  <c r="D26" i="2" s="1"/>
  <c r="B26" i="2"/>
  <c r="G25" i="2"/>
  <c r="F25" i="2"/>
  <c r="B25" i="2"/>
  <c r="C25" i="2" s="1"/>
  <c r="D25" i="2" s="1"/>
  <c r="E25" i="2" s="1"/>
  <c r="G24" i="2"/>
  <c r="F24" i="2"/>
  <c r="B24" i="2"/>
  <c r="G23" i="2"/>
  <c r="F23" i="2"/>
  <c r="B23" i="2"/>
  <c r="H22" i="2"/>
  <c r="I22" i="2" s="1"/>
  <c r="J22" i="2" s="1"/>
  <c r="G22" i="2"/>
  <c r="F22" i="2"/>
  <c r="E22" i="2"/>
  <c r="D22" i="2"/>
  <c r="C22" i="2"/>
  <c r="B22" i="2"/>
  <c r="G21" i="2"/>
  <c r="F21" i="2"/>
  <c r="B21" i="2"/>
  <c r="G20" i="2"/>
  <c r="F20" i="2"/>
  <c r="B20" i="2"/>
  <c r="G19" i="2"/>
  <c r="F19" i="2"/>
  <c r="E19" i="2"/>
  <c r="D19" i="2"/>
  <c r="H19" i="2" s="1"/>
  <c r="I19" i="2" s="1"/>
  <c r="J19" i="2" s="1"/>
  <c r="C19" i="2"/>
  <c r="B19" i="2"/>
  <c r="G18" i="2"/>
  <c r="F18" i="2"/>
  <c r="C18" i="2"/>
  <c r="D18" i="2" s="1"/>
  <c r="B18" i="2"/>
  <c r="G17" i="2"/>
  <c r="F17" i="2"/>
  <c r="B17" i="2"/>
  <c r="C17" i="2" s="1"/>
  <c r="D17" i="2" s="1"/>
  <c r="G16" i="2"/>
  <c r="F16" i="2"/>
  <c r="C16" i="2"/>
  <c r="D16" i="2" s="1"/>
  <c r="B16" i="2"/>
  <c r="G15" i="2"/>
  <c r="F15" i="2"/>
  <c r="B15" i="2"/>
  <c r="G14" i="2"/>
  <c r="F14" i="2"/>
  <c r="B14" i="2"/>
  <c r="G13" i="2"/>
  <c r="F13" i="2"/>
  <c r="C13" i="2"/>
  <c r="D13" i="2" s="1"/>
  <c r="B13" i="2"/>
  <c r="G12" i="2"/>
  <c r="F12" i="2"/>
  <c r="B12" i="2"/>
  <c r="G11" i="2"/>
  <c r="F11" i="2"/>
  <c r="D11" i="2"/>
  <c r="C11" i="2"/>
  <c r="B11" i="2"/>
  <c r="G10" i="2"/>
  <c r="F10" i="2"/>
  <c r="B10" i="2"/>
  <c r="C10" i="2" s="1"/>
  <c r="D10" i="2" s="1"/>
  <c r="E10" i="2" s="1"/>
  <c r="G9" i="2"/>
  <c r="F9" i="2"/>
  <c r="B9" i="2"/>
  <c r="C9" i="2" s="1"/>
  <c r="D9" i="2" s="1"/>
  <c r="G8" i="2"/>
  <c r="F8" i="2"/>
  <c r="E8" i="2"/>
  <c r="C8" i="2"/>
  <c r="D8" i="2" s="1"/>
  <c r="H8" i="2" s="1"/>
  <c r="I8" i="2" s="1"/>
  <c r="B8" i="2"/>
  <c r="J8" i="2" s="1"/>
  <c r="G7" i="2"/>
  <c r="F7" i="2"/>
  <c r="B7" i="2"/>
  <c r="J7" i="2" s="1"/>
  <c r="G11" i="1"/>
  <c r="F11" i="1"/>
  <c r="E11" i="1"/>
  <c r="B11" i="1"/>
  <c r="C11" i="1" s="1"/>
  <c r="G10" i="1"/>
  <c r="F10" i="1"/>
  <c r="B10" i="1"/>
  <c r="C10" i="1" s="1"/>
  <c r="G9" i="1"/>
  <c r="F9" i="1"/>
  <c r="D9" i="1"/>
  <c r="B9" i="1"/>
  <c r="C9" i="1" s="1"/>
  <c r="G8" i="1"/>
  <c r="F8" i="1"/>
  <c r="E8" i="1"/>
  <c r="C8" i="1"/>
  <c r="B8" i="1"/>
  <c r="H128" i="3" l="1"/>
  <c r="I128" i="3" s="1"/>
  <c r="J128" i="3" s="1"/>
  <c r="F128" i="3"/>
  <c r="H15" i="4"/>
  <c r="I15" i="4" s="1"/>
  <c r="G15" i="4"/>
  <c r="H114" i="3"/>
  <c r="I114" i="3" s="1"/>
  <c r="J114" i="3" s="1"/>
  <c r="F114" i="3"/>
  <c r="F95" i="3"/>
  <c r="H95" i="3"/>
  <c r="I95" i="3" s="1"/>
  <c r="J95" i="3" s="1"/>
  <c r="H167" i="5"/>
  <c r="I167" i="5" s="1"/>
  <c r="J167" i="5" s="1"/>
  <c r="F167" i="5"/>
  <c r="E167" i="5"/>
  <c r="G167" i="5"/>
  <c r="H104" i="5"/>
  <c r="I104" i="5" s="1"/>
  <c r="E104" i="5"/>
  <c r="F104" i="5"/>
  <c r="G104" i="5"/>
  <c r="H85" i="3"/>
  <c r="I85" i="3" s="1"/>
  <c r="F85" i="3"/>
  <c r="F12" i="3"/>
  <c r="H12" i="3"/>
  <c r="I12" i="3" s="1"/>
  <c r="J12" i="3" s="1"/>
  <c r="H119" i="3"/>
  <c r="I119" i="3" s="1"/>
  <c r="F119" i="3"/>
  <c r="F25" i="3"/>
  <c r="H25" i="3"/>
  <c r="I25" i="3" s="1"/>
  <c r="J25" i="3" s="1"/>
  <c r="H115" i="3"/>
  <c r="I115" i="3" s="1"/>
  <c r="J115" i="3" s="1"/>
  <c r="F115" i="3"/>
  <c r="E35" i="2"/>
  <c r="H35" i="2"/>
  <c r="I35" i="2" s="1"/>
  <c r="J35" i="2" s="1"/>
  <c r="H17" i="3"/>
  <c r="I17" i="3" s="1"/>
  <c r="J17" i="3" s="1"/>
  <c r="F17" i="3"/>
  <c r="F31" i="3"/>
  <c r="H31" i="3"/>
  <c r="I31" i="3" s="1"/>
  <c r="F57" i="3"/>
  <c r="H57" i="3"/>
  <c r="I57" i="3" s="1"/>
  <c r="H53" i="3"/>
  <c r="I53" i="3" s="1"/>
  <c r="J53" i="3" s="1"/>
  <c r="F53" i="3"/>
  <c r="G152" i="5"/>
  <c r="F152" i="5"/>
  <c r="E152" i="5"/>
  <c r="H152" i="5"/>
  <c r="I152" i="5" s="1"/>
  <c r="J152" i="5" s="1"/>
  <c r="H81" i="3"/>
  <c r="I81" i="3" s="1"/>
  <c r="J81" i="3" s="1"/>
  <c r="H38" i="5"/>
  <c r="I38" i="5" s="1"/>
  <c r="G38" i="5"/>
  <c r="F38" i="5"/>
  <c r="E38" i="5"/>
  <c r="H10" i="2"/>
  <c r="I10" i="2" s="1"/>
  <c r="J10" i="2" s="1"/>
  <c r="H84" i="5"/>
  <c r="I84" i="5" s="1"/>
  <c r="J84" i="5" s="1"/>
  <c r="G84" i="5"/>
  <c r="C118" i="5"/>
  <c r="D118" i="5" s="1"/>
  <c r="H39" i="5"/>
  <c r="I39" i="5" s="1"/>
  <c r="J39" i="5" s="1"/>
  <c r="E39" i="5"/>
  <c r="F39" i="5"/>
  <c r="F72" i="5"/>
  <c r="E84" i="5"/>
  <c r="H95" i="5"/>
  <c r="I95" i="5" s="1"/>
  <c r="E95" i="5"/>
  <c r="G95" i="5"/>
  <c r="F95" i="5"/>
  <c r="C23" i="2"/>
  <c r="D23" i="2" s="1"/>
  <c r="E30" i="2"/>
  <c r="H30" i="2"/>
  <c r="I30" i="2" s="1"/>
  <c r="J30" i="2" s="1"/>
  <c r="C36" i="2"/>
  <c r="D36" i="2" s="1"/>
  <c r="C63" i="3"/>
  <c r="D63" i="3" s="1"/>
  <c r="H96" i="3"/>
  <c r="I96" i="3" s="1"/>
  <c r="J96" i="3" s="1"/>
  <c r="F96" i="3"/>
  <c r="J110" i="3"/>
  <c r="C20" i="4"/>
  <c r="D20" i="4" s="1"/>
  <c r="G39" i="5"/>
  <c r="F84" i="5"/>
  <c r="F96" i="5"/>
  <c r="E96" i="5"/>
  <c r="H96" i="5"/>
  <c r="I96" i="5" s="1"/>
  <c r="J96" i="5" s="1"/>
  <c r="G96" i="5"/>
  <c r="H144" i="5"/>
  <c r="I144" i="5" s="1"/>
  <c r="J144" i="5" s="1"/>
  <c r="G144" i="5"/>
  <c r="F144" i="5"/>
  <c r="E144" i="5"/>
  <c r="H41" i="2"/>
  <c r="I41" i="2" s="1"/>
  <c r="J41" i="2" s="1"/>
  <c r="E41" i="2"/>
  <c r="E42" i="2"/>
  <c r="H42" i="2"/>
  <c r="I42" i="2" s="1"/>
  <c r="G25" i="4"/>
  <c r="H25" i="4"/>
  <c r="I25" i="4" s="1"/>
  <c r="J25" i="4" s="1"/>
  <c r="C153" i="5"/>
  <c r="D153" i="5" s="1"/>
  <c r="E16" i="5"/>
  <c r="G16" i="5"/>
  <c r="H16" i="5"/>
  <c r="I16" i="5" s="1"/>
  <c r="J16" i="5" s="1"/>
  <c r="J11" i="2"/>
  <c r="H18" i="2"/>
  <c r="I18" i="2" s="1"/>
  <c r="E18" i="2"/>
  <c r="J26" i="3"/>
  <c r="J45" i="3"/>
  <c r="C40" i="5"/>
  <c r="D40" i="5" s="1"/>
  <c r="C97" i="5"/>
  <c r="D97" i="5" s="1"/>
  <c r="F131" i="5"/>
  <c r="E131" i="5"/>
  <c r="G131" i="5"/>
  <c r="J104" i="5"/>
  <c r="E17" i="2"/>
  <c r="H17" i="2"/>
  <c r="I17" i="2" s="1"/>
  <c r="J17" i="2" s="1"/>
  <c r="H72" i="5"/>
  <c r="I72" i="5" s="1"/>
  <c r="J72" i="5" s="1"/>
  <c r="E72" i="5"/>
  <c r="H26" i="3"/>
  <c r="I26" i="3" s="1"/>
  <c r="F26" i="3"/>
  <c r="F70" i="3"/>
  <c r="H70" i="3"/>
  <c r="I70" i="3" s="1"/>
  <c r="C77" i="3"/>
  <c r="D77" i="3" s="1"/>
  <c r="H7" i="4"/>
  <c r="I7" i="4" s="1"/>
  <c r="G7" i="4"/>
  <c r="H28" i="5"/>
  <c r="I28" i="5" s="1"/>
  <c r="J28" i="5" s="1"/>
  <c r="G28" i="5"/>
  <c r="F28" i="5"/>
  <c r="E28" i="5"/>
  <c r="C85" i="5"/>
  <c r="D85" i="5" s="1"/>
  <c r="F22" i="5"/>
  <c r="E22" i="5"/>
  <c r="H22" i="5"/>
  <c r="I22" i="5" s="1"/>
  <c r="G22" i="5"/>
  <c r="H40" i="3"/>
  <c r="I40" i="3" s="1"/>
  <c r="J40" i="3" s="1"/>
  <c r="F40" i="3"/>
  <c r="F31" i="5"/>
  <c r="E31" i="5"/>
  <c r="H31" i="5"/>
  <c r="I31" i="5" s="1"/>
  <c r="J31" i="5" s="1"/>
  <c r="G31" i="5"/>
  <c r="C52" i="5"/>
  <c r="D52" i="5" s="1"/>
  <c r="H87" i="5"/>
  <c r="I87" i="5" s="1"/>
  <c r="J87" i="5" s="1"/>
  <c r="G87" i="5"/>
  <c r="F87" i="5"/>
  <c r="E87" i="5"/>
  <c r="F135" i="5"/>
  <c r="G135" i="5"/>
  <c r="E135" i="5"/>
  <c r="H135" i="5"/>
  <c r="I135" i="5" s="1"/>
  <c r="C147" i="5"/>
  <c r="D147" i="5" s="1"/>
  <c r="C79" i="5"/>
  <c r="D79" i="5" s="1"/>
  <c r="G88" i="5"/>
  <c r="F88" i="5"/>
  <c r="H88" i="5"/>
  <c r="I88" i="5" s="1"/>
  <c r="J88" i="5" s="1"/>
  <c r="E88" i="5"/>
  <c r="F105" i="3"/>
  <c r="H105" i="3"/>
  <c r="I105" i="3" s="1"/>
  <c r="J105" i="3" s="1"/>
  <c r="H53" i="5"/>
  <c r="I53" i="5" s="1"/>
  <c r="J53" i="5" s="1"/>
  <c r="G53" i="5"/>
  <c r="F53" i="5"/>
  <c r="E53" i="5"/>
  <c r="E75" i="5"/>
  <c r="H75" i="5"/>
  <c r="I75" i="5" s="1"/>
  <c r="G75" i="5"/>
  <c r="F75" i="5"/>
  <c r="H158" i="5"/>
  <c r="I158" i="5" s="1"/>
  <c r="J158" i="5" s="1"/>
  <c r="G158" i="5"/>
  <c r="E158" i="5"/>
  <c r="F158" i="5"/>
  <c r="H16" i="2"/>
  <c r="I16" i="2" s="1"/>
  <c r="J16" i="2" s="1"/>
  <c r="E16" i="2"/>
  <c r="G30" i="5"/>
  <c r="F30" i="5"/>
  <c r="E30" i="5"/>
  <c r="H30" i="5"/>
  <c r="I30" i="5" s="1"/>
  <c r="J30" i="5" s="1"/>
  <c r="F118" i="3"/>
  <c r="H118" i="3"/>
  <c r="I118" i="3" s="1"/>
  <c r="J118" i="3" s="1"/>
  <c r="F124" i="3"/>
  <c r="H9" i="5"/>
  <c r="I9" i="5" s="1"/>
  <c r="J9" i="5" s="1"/>
  <c r="H92" i="5"/>
  <c r="I92" i="5" s="1"/>
  <c r="G92" i="5"/>
  <c r="F92" i="5"/>
  <c r="C72" i="3"/>
  <c r="D72" i="3" s="1"/>
  <c r="G54" i="5"/>
  <c r="H54" i="5"/>
  <c r="I54" i="5" s="1"/>
  <c r="J54" i="5" s="1"/>
  <c r="F54" i="5"/>
  <c r="E54" i="5"/>
  <c r="E66" i="5"/>
  <c r="G112" i="5"/>
  <c r="H112" i="5"/>
  <c r="I112" i="5" s="1"/>
  <c r="J112" i="5" s="1"/>
  <c r="H11" i="2"/>
  <c r="I11" i="2" s="1"/>
  <c r="E11" i="2"/>
  <c r="H58" i="3"/>
  <c r="I58" i="3" s="1"/>
  <c r="J58" i="3" s="1"/>
  <c r="F58" i="3"/>
  <c r="C34" i="5"/>
  <c r="D34" i="5" s="1"/>
  <c r="F66" i="5"/>
  <c r="E112" i="5"/>
  <c r="G138" i="5"/>
  <c r="F138" i="5"/>
  <c r="E138" i="5"/>
  <c r="H27" i="2"/>
  <c r="I27" i="2" s="1"/>
  <c r="J27" i="2" s="1"/>
  <c r="E27" i="2"/>
  <c r="D8" i="1"/>
  <c r="C15" i="2"/>
  <c r="D15" i="2" s="1"/>
  <c r="C133" i="3"/>
  <c r="D133" i="3" s="1"/>
  <c r="E59" i="5"/>
  <c r="C49" i="3"/>
  <c r="D49" i="3" s="1"/>
  <c r="G26" i="5"/>
  <c r="F26" i="5"/>
  <c r="E26" i="5"/>
  <c r="G59" i="5"/>
  <c r="G19" i="4"/>
  <c r="H19" i="4"/>
  <c r="I19" i="4" s="1"/>
  <c r="F14" i="3"/>
  <c r="H14" i="3"/>
  <c r="I14" i="3" s="1"/>
  <c r="H45" i="3"/>
  <c r="I45" i="3" s="1"/>
  <c r="F45" i="3"/>
  <c r="C132" i="5"/>
  <c r="D132" i="5" s="1"/>
  <c r="C21" i="3"/>
  <c r="D21" i="3" s="1"/>
  <c r="J15" i="4"/>
  <c r="H26" i="2"/>
  <c r="I26" i="2" s="1"/>
  <c r="E26" i="2"/>
  <c r="C35" i="3"/>
  <c r="D35" i="3" s="1"/>
  <c r="H47" i="3"/>
  <c r="I47" i="3" s="1"/>
  <c r="F47" i="3"/>
  <c r="H59" i="3"/>
  <c r="I59" i="3" s="1"/>
  <c r="J59" i="3" s="1"/>
  <c r="F59" i="3"/>
  <c r="J106" i="3"/>
  <c r="G66" i="5"/>
  <c r="E91" i="5"/>
  <c r="F112" i="5"/>
  <c r="H138" i="5"/>
  <c r="I138" i="5" s="1"/>
  <c r="J138" i="5" s="1"/>
  <c r="J75" i="5"/>
  <c r="C7" i="2"/>
  <c r="D7" i="2" s="1"/>
  <c r="C40" i="2"/>
  <c r="D40" i="2" s="1"/>
  <c r="F106" i="3"/>
  <c r="H106" i="3"/>
  <c r="I106" i="3" s="1"/>
  <c r="H56" i="5"/>
  <c r="I56" i="5" s="1"/>
  <c r="J56" i="5" s="1"/>
  <c r="F56" i="5"/>
  <c r="E56" i="5"/>
  <c r="G56" i="5"/>
  <c r="F78" i="5"/>
  <c r="E78" i="5"/>
  <c r="G78" i="5"/>
  <c r="F91" i="5"/>
  <c r="H161" i="5"/>
  <c r="I161" i="5" s="1"/>
  <c r="J161" i="5" s="1"/>
  <c r="F161" i="5"/>
  <c r="H186" i="5"/>
  <c r="I186" i="5" s="1"/>
  <c r="J186" i="5" s="1"/>
  <c r="G186" i="5"/>
  <c r="E186" i="5"/>
  <c r="F186" i="5"/>
  <c r="F35" i="5"/>
  <c r="E35" i="5"/>
  <c r="H35" i="5"/>
  <c r="I35" i="5" s="1"/>
  <c r="J35" i="5" s="1"/>
  <c r="G35" i="5"/>
  <c r="H25" i="5"/>
  <c r="I25" i="5" s="1"/>
  <c r="J25" i="5" s="1"/>
  <c r="G25" i="5"/>
  <c r="F25" i="5"/>
  <c r="E25" i="5"/>
  <c r="F59" i="5"/>
  <c r="H44" i="3"/>
  <c r="I44" i="3" s="1"/>
  <c r="J44" i="3" s="1"/>
  <c r="F44" i="3"/>
  <c r="E13" i="2"/>
  <c r="H13" i="2"/>
  <c r="I13" i="2" s="1"/>
  <c r="J13" i="2" s="1"/>
  <c r="F22" i="3"/>
  <c r="H22" i="3"/>
  <c r="I22" i="3" s="1"/>
  <c r="J22" i="3" s="1"/>
  <c r="H66" i="3"/>
  <c r="I66" i="3" s="1"/>
  <c r="J66" i="3" s="1"/>
  <c r="H86" i="3"/>
  <c r="I86" i="3" s="1"/>
  <c r="J86" i="3" s="1"/>
  <c r="F86" i="3"/>
  <c r="H44" i="5"/>
  <c r="I44" i="5" s="1"/>
  <c r="G44" i="5"/>
  <c r="F44" i="5"/>
  <c r="E44" i="5"/>
  <c r="H78" i="5"/>
  <c r="I78" i="5" s="1"/>
  <c r="J78" i="5" s="1"/>
  <c r="H91" i="5"/>
  <c r="I91" i="5" s="1"/>
  <c r="J91" i="5" s="1"/>
  <c r="E125" i="5"/>
  <c r="E161" i="5"/>
  <c r="H30" i="3"/>
  <c r="I30" i="3" s="1"/>
  <c r="J30" i="3" s="1"/>
  <c r="F30" i="3"/>
  <c r="H88" i="3"/>
  <c r="I88" i="3" s="1"/>
  <c r="J88" i="3" s="1"/>
  <c r="F88" i="3"/>
  <c r="H18" i="4"/>
  <c r="I18" i="4" s="1"/>
  <c r="J18" i="4" s="1"/>
  <c r="G18" i="4"/>
  <c r="H116" i="5"/>
  <c r="I116" i="5" s="1"/>
  <c r="J116" i="5" s="1"/>
  <c r="G116" i="5"/>
  <c r="F116" i="5"/>
  <c r="E116" i="5"/>
  <c r="H46" i="5"/>
  <c r="I46" i="5" s="1"/>
  <c r="J46" i="5" s="1"/>
  <c r="G46" i="5"/>
  <c r="E46" i="5"/>
  <c r="H62" i="3"/>
  <c r="I62" i="3" s="1"/>
  <c r="J62" i="3" s="1"/>
  <c r="H121" i="3"/>
  <c r="I121" i="3" s="1"/>
  <c r="J121" i="3" s="1"/>
  <c r="F121" i="3"/>
  <c r="H26" i="5"/>
  <c r="I26" i="5" s="1"/>
  <c r="C71" i="3"/>
  <c r="D71" i="3" s="1"/>
  <c r="C134" i="5"/>
  <c r="D134" i="5" s="1"/>
  <c r="H19" i="5"/>
  <c r="I19" i="5" s="1"/>
  <c r="G19" i="5"/>
  <c r="F19" i="5"/>
  <c r="E19" i="5"/>
  <c r="C8" i="3"/>
  <c r="D8" i="3" s="1"/>
  <c r="H113" i="3"/>
  <c r="I113" i="3" s="1"/>
  <c r="J113" i="3" s="1"/>
  <c r="F113" i="3"/>
  <c r="H24" i="4"/>
  <c r="I24" i="4" s="1"/>
  <c r="J24" i="4" s="1"/>
  <c r="G24" i="4"/>
  <c r="H21" i="5"/>
  <c r="I21" i="5" s="1"/>
  <c r="J21" i="5" s="1"/>
  <c r="F21" i="5"/>
  <c r="F125" i="5"/>
  <c r="H139" i="5"/>
  <c r="I139" i="5" s="1"/>
  <c r="F139" i="5"/>
  <c r="E139" i="5"/>
  <c r="G161" i="5"/>
  <c r="H175" i="5"/>
  <c r="I175" i="5" s="1"/>
  <c r="G175" i="5"/>
  <c r="H36" i="3"/>
  <c r="I36" i="3" s="1"/>
  <c r="F36" i="3"/>
  <c r="C67" i="3"/>
  <c r="D67" i="3" s="1"/>
  <c r="F132" i="3"/>
  <c r="E28" i="2"/>
  <c r="H28" i="2"/>
  <c r="I28" i="2" s="1"/>
  <c r="J28" i="2" s="1"/>
  <c r="J31" i="3"/>
  <c r="C117" i="5"/>
  <c r="D117" i="5" s="1"/>
  <c r="G15" i="5"/>
  <c r="F15" i="5"/>
  <c r="H15" i="5"/>
  <c r="I15" i="5" s="1"/>
  <c r="J15" i="5" s="1"/>
  <c r="E15" i="5"/>
  <c r="C51" i="5"/>
  <c r="D51" i="5" s="1"/>
  <c r="H39" i="2"/>
  <c r="I39" i="2" s="1"/>
  <c r="J39" i="2" s="1"/>
  <c r="E39" i="2"/>
  <c r="C32" i="2"/>
  <c r="D32" i="2" s="1"/>
  <c r="F60" i="3"/>
  <c r="H60" i="3"/>
  <c r="I60" i="3" s="1"/>
  <c r="J60" i="3" s="1"/>
  <c r="F107" i="3"/>
  <c r="H107" i="3"/>
  <c r="I107" i="3" s="1"/>
  <c r="E21" i="5"/>
  <c r="G58" i="5"/>
  <c r="F58" i="5"/>
  <c r="E58" i="5"/>
  <c r="J92" i="5"/>
  <c r="G139" i="5"/>
  <c r="C162" i="5"/>
  <c r="D162" i="5" s="1"/>
  <c r="E175" i="5"/>
  <c r="J139" i="5"/>
  <c r="C60" i="5"/>
  <c r="D60" i="5" s="1"/>
  <c r="C16" i="4"/>
  <c r="D16" i="4" s="1"/>
  <c r="C26" i="4"/>
  <c r="D26" i="4" s="1"/>
  <c r="C47" i="5"/>
  <c r="D47" i="5" s="1"/>
  <c r="J67" i="5"/>
  <c r="H120" i="5"/>
  <c r="I120" i="5" s="1"/>
  <c r="J120" i="5" s="1"/>
  <c r="G120" i="5"/>
  <c r="E120" i="5"/>
  <c r="H169" i="5"/>
  <c r="I169" i="5" s="1"/>
  <c r="G169" i="5"/>
  <c r="F169" i="5"/>
  <c r="E169" i="5"/>
  <c r="E176" i="5"/>
  <c r="H183" i="5"/>
  <c r="I183" i="5" s="1"/>
  <c r="J183" i="5" s="1"/>
  <c r="G183" i="5"/>
  <c r="F183" i="5"/>
  <c r="E183" i="5"/>
  <c r="C12" i="2"/>
  <c r="D12" i="2" s="1"/>
  <c r="C24" i="2"/>
  <c r="D24" i="2" s="1"/>
  <c r="H13" i="3"/>
  <c r="I13" i="3" s="1"/>
  <c r="J13" i="3" s="1"/>
  <c r="F73" i="3"/>
  <c r="C78" i="3"/>
  <c r="D78" i="3" s="1"/>
  <c r="J92" i="3"/>
  <c r="C125" i="3"/>
  <c r="D125" i="3" s="1"/>
  <c r="J17" i="5"/>
  <c r="C106" i="5"/>
  <c r="D106" i="5" s="1"/>
  <c r="F120" i="5"/>
  <c r="H148" i="5"/>
  <c r="I148" i="5" s="1"/>
  <c r="J148" i="5" s="1"/>
  <c r="G148" i="5"/>
  <c r="G184" i="5"/>
  <c r="F184" i="5"/>
  <c r="E184" i="5"/>
  <c r="C101" i="3"/>
  <c r="D101" i="3" s="1"/>
  <c r="C129" i="3"/>
  <c r="D129" i="3" s="1"/>
  <c r="H21" i="4"/>
  <c r="I21" i="4" s="1"/>
  <c r="J21" i="4" s="1"/>
  <c r="G21" i="4"/>
  <c r="C29" i="5"/>
  <c r="D29" i="5" s="1"/>
  <c r="H119" i="5"/>
  <c r="I119" i="5" s="1"/>
  <c r="G119" i="5"/>
  <c r="F119" i="5"/>
  <c r="E119" i="5"/>
  <c r="C126" i="5"/>
  <c r="D126" i="5" s="1"/>
  <c r="C20" i="2"/>
  <c r="D20" i="2" s="1"/>
  <c r="F68" i="3"/>
  <c r="H87" i="3"/>
  <c r="I87" i="3" s="1"/>
  <c r="J87" i="3" s="1"/>
  <c r="H111" i="3"/>
  <c r="I111" i="3" s="1"/>
  <c r="J111" i="3" s="1"/>
  <c r="F111" i="3"/>
  <c r="H11" i="4"/>
  <c r="I11" i="4" s="1"/>
  <c r="J11" i="4" s="1"/>
  <c r="G11" i="4"/>
  <c r="H67" i="5"/>
  <c r="I67" i="5" s="1"/>
  <c r="E67" i="5"/>
  <c r="J176" i="5"/>
  <c r="H134" i="3"/>
  <c r="F134" i="3"/>
  <c r="H105" i="5"/>
  <c r="I105" i="5" s="1"/>
  <c r="J105" i="5" s="1"/>
  <c r="F105" i="5"/>
  <c r="G105" i="5"/>
  <c r="E105" i="5"/>
  <c r="C9" i="3"/>
  <c r="D9" i="3" s="1"/>
  <c r="C29" i="2"/>
  <c r="D29" i="2" s="1"/>
  <c r="H37" i="2"/>
  <c r="I37" i="2" s="1"/>
  <c r="J37" i="2" s="1"/>
  <c r="E37" i="2"/>
  <c r="H130" i="3"/>
  <c r="I130" i="3" s="1"/>
  <c r="J130" i="3" s="1"/>
  <c r="F130" i="3"/>
  <c r="H11" i="5"/>
  <c r="I11" i="5" s="1"/>
  <c r="J11" i="5" s="1"/>
  <c r="E11" i="5"/>
  <c r="G11" i="5"/>
  <c r="F11" i="5"/>
  <c r="E17" i="5"/>
  <c r="C42" i="5"/>
  <c r="D42" i="5" s="1"/>
  <c r="C80" i="5"/>
  <c r="D80" i="5" s="1"/>
  <c r="F107" i="5"/>
  <c r="E107" i="5"/>
  <c r="H113" i="5"/>
  <c r="I113" i="5" s="1"/>
  <c r="J113" i="5" s="1"/>
  <c r="G113" i="5"/>
  <c r="J22" i="5"/>
  <c r="H176" i="5"/>
  <c r="I176" i="5" s="1"/>
  <c r="G176" i="5"/>
  <c r="C33" i="2"/>
  <c r="D33" i="2" s="1"/>
  <c r="J14" i="3"/>
  <c r="H37" i="3"/>
  <c r="I37" i="3" s="1"/>
  <c r="J37" i="3" s="1"/>
  <c r="F37" i="3"/>
  <c r="F92" i="3"/>
  <c r="C22" i="4"/>
  <c r="D22" i="4" s="1"/>
  <c r="F17" i="5"/>
  <c r="C23" i="5"/>
  <c r="D23" i="5" s="1"/>
  <c r="C48" i="5"/>
  <c r="D48" i="5" s="1"/>
  <c r="G67" i="5"/>
  <c r="J81" i="5"/>
  <c r="G107" i="5"/>
  <c r="E113" i="5"/>
  <c r="F121" i="5"/>
  <c r="E121" i="5"/>
  <c r="H127" i="5"/>
  <c r="I127" i="5" s="1"/>
  <c r="J127" i="5" s="1"/>
  <c r="G127" i="5"/>
  <c r="F127" i="5"/>
  <c r="F177" i="5"/>
  <c r="E177" i="5"/>
  <c r="H177" i="5"/>
  <c r="I177" i="5" s="1"/>
  <c r="J177" i="5" s="1"/>
  <c r="H25" i="2"/>
  <c r="I25" i="2" s="1"/>
  <c r="J25" i="2" s="1"/>
  <c r="C69" i="5"/>
  <c r="D69" i="5" s="1"/>
  <c r="G82" i="5"/>
  <c r="F82" i="5"/>
  <c r="E82" i="5"/>
  <c r="G114" i="5"/>
  <c r="F114" i="5"/>
  <c r="E114" i="5"/>
  <c r="F171" i="5"/>
  <c r="J36" i="3"/>
  <c r="H23" i="3"/>
  <c r="I23" i="3" s="1"/>
  <c r="C84" i="3"/>
  <c r="D84" i="3" s="1"/>
  <c r="C63" i="5"/>
  <c r="D63" i="5" s="1"/>
  <c r="H82" i="5"/>
  <c r="I82" i="5" s="1"/>
  <c r="H114" i="5"/>
  <c r="I114" i="5" s="1"/>
  <c r="J114" i="5" s="1"/>
  <c r="E129" i="5"/>
  <c r="E143" i="5"/>
  <c r="C150" i="5"/>
  <c r="D150" i="5" s="1"/>
  <c r="G171" i="5"/>
  <c r="H9" i="2"/>
  <c r="I9" i="2" s="1"/>
  <c r="J9" i="2" s="1"/>
  <c r="E9" i="2"/>
  <c r="H10" i="3"/>
  <c r="I10" i="3" s="1"/>
  <c r="J10" i="3" s="1"/>
  <c r="C56" i="3"/>
  <c r="D56" i="3" s="1"/>
  <c r="H65" i="3"/>
  <c r="I65" i="3" s="1"/>
  <c r="J65" i="3" s="1"/>
  <c r="F65" i="3"/>
  <c r="H74" i="3"/>
  <c r="I74" i="3" s="1"/>
  <c r="J74" i="3" s="1"/>
  <c r="F93" i="3"/>
  <c r="C103" i="3"/>
  <c r="D103" i="3" s="1"/>
  <c r="F131" i="3"/>
  <c r="C50" i="5"/>
  <c r="D50" i="5" s="1"/>
  <c r="C122" i="5"/>
  <c r="D122" i="5" s="1"/>
  <c r="F129" i="5"/>
  <c r="F143" i="5"/>
  <c r="C157" i="5"/>
  <c r="D157" i="5" s="1"/>
  <c r="H171" i="5"/>
  <c r="I171" i="5" s="1"/>
  <c r="J171" i="5" s="1"/>
  <c r="G81" i="5"/>
  <c r="H81" i="5"/>
  <c r="I81" i="5" s="1"/>
  <c r="E81" i="5"/>
  <c r="C128" i="5"/>
  <c r="D128" i="5" s="1"/>
  <c r="C38" i="3"/>
  <c r="D38" i="3" s="1"/>
  <c r="J26" i="2"/>
  <c r="H34" i="2"/>
  <c r="I34" i="2" s="1"/>
  <c r="J34" i="2" s="1"/>
  <c r="E34" i="2"/>
  <c r="C24" i="3"/>
  <c r="D24" i="3" s="1"/>
  <c r="C52" i="3"/>
  <c r="D52" i="3" s="1"/>
  <c r="J70" i="3"/>
  <c r="J75" i="3"/>
  <c r="J7" i="5"/>
  <c r="C7" i="5"/>
  <c r="D7" i="5" s="1"/>
  <c r="C13" i="5"/>
  <c r="D13" i="5" s="1"/>
  <c r="J38" i="5"/>
  <c r="C109" i="5"/>
  <c r="D109" i="5" s="1"/>
  <c r="H129" i="5"/>
  <c r="I129" i="5" s="1"/>
  <c r="J129" i="5" s="1"/>
  <c r="G143" i="5"/>
  <c r="H165" i="5"/>
  <c r="I165" i="5" s="1"/>
  <c r="J165" i="5" s="1"/>
  <c r="G165" i="5"/>
  <c r="F165" i="5"/>
  <c r="E165" i="5"/>
  <c r="C28" i="3"/>
  <c r="D28" i="3" s="1"/>
  <c r="J19" i="5"/>
  <c r="J44" i="5"/>
  <c r="H57" i="5"/>
  <c r="I57" i="5" s="1"/>
  <c r="J57" i="5" s="1"/>
  <c r="G57" i="5"/>
  <c r="F57" i="5"/>
  <c r="E57" i="5"/>
  <c r="H83" i="5"/>
  <c r="I83" i="5" s="1"/>
  <c r="J83" i="5" s="1"/>
  <c r="F83" i="5"/>
  <c r="E83" i="5"/>
  <c r="H137" i="5"/>
  <c r="I137" i="5" s="1"/>
  <c r="J137" i="5" s="1"/>
  <c r="G137" i="5"/>
  <c r="F137" i="5"/>
  <c r="E137" i="5"/>
  <c r="G180" i="5"/>
  <c r="F180" i="5"/>
  <c r="E180" i="5"/>
  <c r="F68" i="5"/>
  <c r="E68" i="5"/>
  <c r="C185" i="5"/>
  <c r="D185" i="5" s="1"/>
  <c r="C79" i="3"/>
  <c r="D79" i="3" s="1"/>
  <c r="H12" i="4"/>
  <c r="I12" i="4" s="1"/>
  <c r="J12" i="4" s="1"/>
  <c r="G12" i="4"/>
  <c r="C108" i="5"/>
  <c r="D108" i="5" s="1"/>
  <c r="C38" i="2"/>
  <c r="D38" i="2" s="1"/>
  <c r="C33" i="3"/>
  <c r="D33" i="3" s="1"/>
  <c r="H43" i="2"/>
  <c r="E43" i="2"/>
  <c r="H80" i="3"/>
  <c r="I80" i="3" s="1"/>
  <c r="J80" i="3" s="1"/>
  <c r="C89" i="3"/>
  <c r="D89" i="3" s="1"/>
  <c r="H8" i="5"/>
  <c r="I8" i="5" s="1"/>
  <c r="J8" i="5" s="1"/>
  <c r="G8" i="5"/>
  <c r="G32" i="5"/>
  <c r="F32" i="5"/>
  <c r="E32" i="5"/>
  <c r="G83" i="5"/>
  <c r="H102" i="5"/>
  <c r="I102" i="5" s="1"/>
  <c r="J102" i="5" s="1"/>
  <c r="G102" i="5"/>
  <c r="E102" i="5"/>
  <c r="F102" i="5"/>
  <c r="H180" i="5"/>
  <c r="I180" i="5" s="1"/>
  <c r="J180" i="5" s="1"/>
  <c r="C187" i="5"/>
  <c r="D187" i="5" s="1"/>
  <c r="J135" i="5"/>
  <c r="H51" i="3"/>
  <c r="I51" i="3" s="1"/>
  <c r="J51" i="3" s="1"/>
  <c r="F51" i="3"/>
  <c r="C42" i="3"/>
  <c r="D42" i="3" s="1"/>
  <c r="J47" i="3"/>
  <c r="J18" i="2"/>
  <c r="C29" i="3"/>
  <c r="D29" i="3" s="1"/>
  <c r="F34" i="3"/>
  <c r="F75" i="3"/>
  <c r="H94" i="3"/>
  <c r="I94" i="3" s="1"/>
  <c r="J94" i="3" s="1"/>
  <c r="F94" i="3"/>
  <c r="E8" i="5"/>
  <c r="H32" i="5"/>
  <c r="I32" i="5" s="1"/>
  <c r="J32" i="5" s="1"/>
  <c r="H76" i="5"/>
  <c r="I76" i="5" s="1"/>
  <c r="J76" i="5" s="1"/>
  <c r="E76" i="5"/>
  <c r="G76" i="5"/>
  <c r="H130" i="5"/>
  <c r="I130" i="5" s="1"/>
  <c r="J130" i="5" s="1"/>
  <c r="G130" i="5"/>
  <c r="E130" i="5"/>
  <c r="C166" i="5"/>
  <c r="D166" i="5" s="1"/>
  <c r="C172" i="5"/>
  <c r="D172" i="5" s="1"/>
  <c r="J42" i="2"/>
  <c r="C117" i="3"/>
  <c r="D117" i="3" s="1"/>
  <c r="C55" i="5"/>
  <c r="D55" i="5" s="1"/>
  <c r="G8" i="4"/>
  <c r="H8" i="4"/>
  <c r="I8" i="4" s="1"/>
  <c r="J8" i="4" s="1"/>
  <c r="C14" i="2"/>
  <c r="D14" i="2" s="1"/>
  <c r="C11" i="3"/>
  <c r="D11" i="3" s="1"/>
  <c r="F99" i="3"/>
  <c r="J132" i="3"/>
  <c r="J19" i="4"/>
  <c r="G23" i="4"/>
  <c r="F8" i="5"/>
  <c r="J26" i="5"/>
  <c r="C64" i="5"/>
  <c r="D64" i="5" s="1"/>
  <c r="G71" i="5"/>
  <c r="F71" i="5"/>
  <c r="F76" i="5"/>
  <c r="F103" i="5"/>
  <c r="E103" i="5"/>
  <c r="F130" i="5"/>
  <c r="G142" i="5"/>
  <c r="F142" i="5"/>
  <c r="E142" i="5"/>
  <c r="H68" i="5"/>
  <c r="I68" i="5" s="1"/>
  <c r="J95" i="5"/>
  <c r="C15" i="3"/>
  <c r="D15" i="3" s="1"/>
  <c r="C104" i="3"/>
  <c r="D104" i="3" s="1"/>
  <c r="C33" i="5"/>
  <c r="D33" i="5" s="1"/>
  <c r="G103" i="5"/>
  <c r="H123" i="5"/>
  <c r="I123" i="5" s="1"/>
  <c r="J123" i="5" s="1"/>
  <c r="E123" i="5"/>
  <c r="G123" i="5"/>
  <c r="F123" i="5"/>
  <c r="C159" i="5"/>
  <c r="D159" i="5" s="1"/>
  <c r="G86" i="5"/>
  <c r="F86" i="5"/>
  <c r="E86" i="5"/>
  <c r="H86" i="5"/>
  <c r="I86" i="5" s="1"/>
  <c r="J86" i="5" s="1"/>
  <c r="J107" i="3"/>
  <c r="G68" i="5"/>
  <c r="F81" i="5"/>
  <c r="H112" i="3"/>
  <c r="I112" i="3" s="1"/>
  <c r="J112" i="3" s="1"/>
  <c r="F112" i="3"/>
  <c r="E9" i="1"/>
  <c r="H69" i="3"/>
  <c r="I69" i="3" s="1"/>
  <c r="J69" i="3" s="1"/>
  <c r="C16" i="3"/>
  <c r="D16" i="3" s="1"/>
  <c r="J39" i="3"/>
  <c r="J57" i="3"/>
  <c r="H76" i="3"/>
  <c r="I76" i="3" s="1"/>
  <c r="J76" i="3" s="1"/>
  <c r="F76" i="3"/>
  <c r="J85" i="3"/>
  <c r="H109" i="3"/>
  <c r="I109" i="3" s="1"/>
  <c r="J109" i="3" s="1"/>
  <c r="F123" i="3"/>
  <c r="H123" i="3"/>
  <c r="I123" i="3" s="1"/>
  <c r="J123" i="3" s="1"/>
  <c r="H20" i="5"/>
  <c r="I20" i="5" s="1"/>
  <c r="J20" i="5" s="1"/>
  <c r="E20" i="5"/>
  <c r="H71" i="5"/>
  <c r="I71" i="5" s="1"/>
  <c r="J71" i="5" s="1"/>
  <c r="H77" i="5"/>
  <c r="I77" i="5" s="1"/>
  <c r="J77" i="5" s="1"/>
  <c r="F77" i="5"/>
  <c r="G77" i="5"/>
  <c r="E77" i="5"/>
  <c r="H103" i="5"/>
  <c r="I103" i="5" s="1"/>
  <c r="J103" i="5" s="1"/>
  <c r="C110" i="5"/>
  <c r="D110" i="5" s="1"/>
  <c r="G124" i="5"/>
  <c r="F124" i="5"/>
  <c r="E124" i="5"/>
  <c r="H124" i="5"/>
  <c r="I124" i="5" s="1"/>
  <c r="J131" i="5"/>
  <c r="C181" i="5"/>
  <c r="D181" i="5" s="1"/>
  <c r="G43" i="5"/>
  <c r="F43" i="5"/>
  <c r="C50" i="3"/>
  <c r="D50" i="3" s="1"/>
  <c r="C64" i="3"/>
  <c r="D64" i="3" s="1"/>
  <c r="C82" i="3"/>
  <c r="D82" i="3" s="1"/>
  <c r="C122" i="3"/>
  <c r="D122" i="3" s="1"/>
  <c r="C10" i="5"/>
  <c r="D10" i="5" s="1"/>
  <c r="C14" i="5"/>
  <c r="D14" i="5" s="1"/>
  <c r="H18" i="5"/>
  <c r="I18" i="5" s="1"/>
  <c r="J18" i="5" s="1"/>
  <c r="G18" i="5"/>
  <c r="E18" i="5"/>
  <c r="E43" i="5"/>
  <c r="C101" i="5"/>
  <c r="D101" i="5" s="1"/>
  <c r="F149" i="5"/>
  <c r="E149" i="5"/>
  <c r="C163" i="5"/>
  <c r="D163" i="5" s="1"/>
  <c r="E168" i="5"/>
  <c r="D10" i="1"/>
  <c r="H27" i="4"/>
  <c r="C89" i="5"/>
  <c r="D89" i="5" s="1"/>
  <c r="C136" i="5"/>
  <c r="D136" i="5" s="1"/>
  <c r="G140" i="5"/>
  <c r="C178" i="5"/>
  <c r="D178" i="5" s="1"/>
  <c r="C21" i="2"/>
  <c r="D21" i="2" s="1"/>
  <c r="C19" i="3"/>
  <c r="D19" i="3" s="1"/>
  <c r="C54" i="3"/>
  <c r="D54" i="3" s="1"/>
  <c r="C61" i="3"/>
  <c r="D61" i="3" s="1"/>
  <c r="C90" i="3"/>
  <c r="D90" i="3" s="1"/>
  <c r="C97" i="3"/>
  <c r="D97" i="3" s="1"/>
  <c r="C108" i="3"/>
  <c r="D108" i="3" s="1"/>
  <c r="J119" i="3"/>
  <c r="C126" i="3"/>
  <c r="D126" i="3" s="1"/>
  <c r="C9" i="4"/>
  <c r="D9" i="4" s="1"/>
  <c r="C27" i="5"/>
  <c r="D27" i="5" s="1"/>
  <c r="J68" i="5"/>
  <c r="J119" i="5"/>
  <c r="C164" i="5"/>
  <c r="D164" i="5" s="1"/>
  <c r="C73" i="5"/>
  <c r="D73" i="5" s="1"/>
  <c r="C94" i="5"/>
  <c r="D94" i="5" s="1"/>
  <c r="C98" i="5"/>
  <c r="D98" i="5" s="1"/>
  <c r="C13" i="4"/>
  <c r="D13" i="4" s="1"/>
  <c r="F65" i="5"/>
  <c r="E90" i="5"/>
  <c r="E115" i="5"/>
  <c r="C141" i="5"/>
  <c r="D141" i="5" s="1"/>
  <c r="H155" i="5"/>
  <c r="I155" i="5" s="1"/>
  <c r="J155" i="5" s="1"/>
  <c r="G155" i="5"/>
  <c r="F155" i="5"/>
  <c r="F174" i="5"/>
  <c r="C188" i="5"/>
  <c r="D188" i="5" s="1"/>
  <c r="C36" i="5"/>
  <c r="D36" i="5" s="1"/>
  <c r="G65" i="5"/>
  <c r="F90" i="5"/>
  <c r="F115" i="5"/>
  <c r="E155" i="5"/>
  <c r="G174" i="5"/>
  <c r="J169" i="5"/>
  <c r="C17" i="4"/>
  <c r="D17" i="4" s="1"/>
  <c r="C61" i="5"/>
  <c r="D61" i="5" s="1"/>
  <c r="H65" i="5"/>
  <c r="I65" i="5" s="1"/>
  <c r="J65" i="5" s="1"/>
  <c r="J82" i="5"/>
  <c r="G90" i="5"/>
  <c r="C111" i="5"/>
  <c r="D111" i="5" s="1"/>
  <c r="G115" i="5"/>
  <c r="H174" i="5"/>
  <c r="I174" i="5" s="1"/>
  <c r="J174" i="5" s="1"/>
  <c r="J23" i="3"/>
  <c r="F83" i="3"/>
  <c r="H160" i="5"/>
  <c r="I160" i="5" s="1"/>
  <c r="J160" i="5" s="1"/>
  <c r="G160" i="5"/>
  <c r="E160" i="5"/>
  <c r="H179" i="5"/>
  <c r="I179" i="5" s="1"/>
  <c r="J179" i="5" s="1"/>
  <c r="E179" i="5"/>
  <c r="J91" i="3"/>
  <c r="C98" i="3"/>
  <c r="D98" i="3" s="1"/>
  <c r="J120" i="3"/>
  <c r="J10" i="4"/>
  <c r="C24" i="5"/>
  <c r="D24" i="5" s="1"/>
  <c r="H133" i="5"/>
  <c r="I133" i="5" s="1"/>
  <c r="J133" i="5" s="1"/>
  <c r="F133" i="5"/>
  <c r="G146" i="5"/>
  <c r="F160" i="5"/>
  <c r="F179" i="5"/>
  <c r="H189" i="5"/>
  <c r="F189" i="5"/>
  <c r="J45" i="5"/>
  <c r="H49" i="5"/>
  <c r="I49" i="5" s="1"/>
  <c r="J49" i="5" s="1"/>
  <c r="F49" i="5"/>
  <c r="J90" i="5"/>
  <c r="G99" i="5"/>
  <c r="F99" i="5"/>
  <c r="J124" i="5"/>
  <c r="E133" i="5"/>
  <c r="H146" i="5"/>
  <c r="I146" i="5" s="1"/>
  <c r="J146" i="5" s="1"/>
  <c r="J151" i="5"/>
  <c r="J175" i="5"/>
  <c r="G179" i="5"/>
  <c r="E189" i="5"/>
  <c r="F12" i="5"/>
  <c r="E12" i="5"/>
  <c r="C70" i="5"/>
  <c r="D70" i="5" s="1"/>
  <c r="H74" i="5"/>
  <c r="I74" i="5" s="1"/>
  <c r="J74" i="5" s="1"/>
  <c r="G74" i="5"/>
  <c r="E74" i="5"/>
  <c r="G133" i="5"/>
  <c r="H151" i="5"/>
  <c r="I151" i="5" s="1"/>
  <c r="E151" i="5"/>
  <c r="G170" i="5"/>
  <c r="F170" i="5"/>
  <c r="E170" i="5"/>
  <c r="G189" i="5"/>
  <c r="C154" i="5"/>
  <c r="D154" i="5" s="1"/>
  <c r="C182" i="5"/>
  <c r="D182" i="5" s="1"/>
  <c r="C145" i="5"/>
  <c r="D145" i="5" s="1"/>
  <c r="C173" i="5"/>
  <c r="D173" i="5" s="1"/>
  <c r="H64" i="5" l="1"/>
  <c r="I64" i="5" s="1"/>
  <c r="J64" i="5" s="1"/>
  <c r="G64" i="5"/>
  <c r="F64" i="5"/>
  <c r="E64" i="5"/>
  <c r="H69" i="5"/>
  <c r="I69" i="5" s="1"/>
  <c r="J69" i="5" s="1"/>
  <c r="G69" i="5"/>
  <c r="F69" i="5"/>
  <c r="E69" i="5"/>
  <c r="H61" i="3"/>
  <c r="I61" i="3" s="1"/>
  <c r="J61" i="3" s="1"/>
  <c r="F61" i="3"/>
  <c r="H56" i="3"/>
  <c r="I56" i="3" s="1"/>
  <c r="J56" i="3" s="1"/>
  <c r="F56" i="3"/>
  <c r="F82" i="3"/>
  <c r="H82" i="3"/>
  <c r="I82" i="3" s="1"/>
  <c r="J82" i="3" s="1"/>
  <c r="G26" i="4"/>
  <c r="H26" i="4"/>
  <c r="I26" i="4" s="1"/>
  <c r="J26" i="4" s="1"/>
  <c r="G80" i="5"/>
  <c r="E80" i="5"/>
  <c r="H80" i="5"/>
  <c r="I80" i="5" s="1"/>
  <c r="J80" i="5" s="1"/>
  <c r="F80" i="5"/>
  <c r="F51" i="5"/>
  <c r="H51" i="5"/>
  <c r="I51" i="5" s="1"/>
  <c r="J51" i="5" s="1"/>
  <c r="E51" i="5"/>
  <c r="G51" i="5"/>
  <c r="F49" i="3"/>
  <c r="H49" i="3"/>
  <c r="I49" i="3" s="1"/>
  <c r="J49" i="3" s="1"/>
  <c r="E118" i="5"/>
  <c r="G118" i="5"/>
  <c r="F118" i="5"/>
  <c r="H118" i="5"/>
  <c r="I118" i="5" s="1"/>
  <c r="J118" i="5" s="1"/>
  <c r="H188" i="5"/>
  <c r="I188" i="5" s="1"/>
  <c r="J188" i="5" s="1"/>
  <c r="G188" i="5"/>
  <c r="E188" i="5"/>
  <c r="F188" i="5"/>
  <c r="F50" i="3"/>
  <c r="H50" i="3"/>
  <c r="I50" i="3" s="1"/>
  <c r="J50" i="3" s="1"/>
  <c r="F11" i="3"/>
  <c r="H11" i="3"/>
  <c r="I11" i="3" s="1"/>
  <c r="J11" i="3" s="1"/>
  <c r="I43" i="2"/>
  <c r="H8" i="1"/>
  <c r="F106" i="5"/>
  <c r="H106" i="5"/>
  <c r="I106" i="5" s="1"/>
  <c r="J106" i="5" s="1"/>
  <c r="G106" i="5"/>
  <c r="E106" i="5"/>
  <c r="H16" i="4"/>
  <c r="I16" i="4" s="1"/>
  <c r="J16" i="4" s="1"/>
  <c r="G16" i="4"/>
  <c r="H97" i="5"/>
  <c r="I97" i="5" s="1"/>
  <c r="J97" i="5" s="1"/>
  <c r="G97" i="5"/>
  <c r="F97" i="5"/>
  <c r="E97" i="5"/>
  <c r="F52" i="3"/>
  <c r="H52" i="3"/>
  <c r="I52" i="3" s="1"/>
  <c r="J52" i="3" s="1"/>
  <c r="H38" i="3"/>
  <c r="I38" i="3" s="1"/>
  <c r="J38" i="3" s="1"/>
  <c r="F38" i="3"/>
  <c r="H150" i="5"/>
  <c r="I150" i="5" s="1"/>
  <c r="J150" i="5" s="1"/>
  <c r="G150" i="5"/>
  <c r="F150" i="5"/>
  <c r="E150" i="5"/>
  <c r="F42" i="5"/>
  <c r="H42" i="5"/>
  <c r="I42" i="5" s="1"/>
  <c r="J42" i="5" s="1"/>
  <c r="G42" i="5"/>
  <c r="E42" i="5"/>
  <c r="H8" i="3"/>
  <c r="I8" i="3" s="1"/>
  <c r="J8" i="3" s="1"/>
  <c r="F8" i="3"/>
  <c r="H141" i="5"/>
  <c r="I141" i="5" s="1"/>
  <c r="J141" i="5" s="1"/>
  <c r="G141" i="5"/>
  <c r="F141" i="5"/>
  <c r="E141" i="5"/>
  <c r="F133" i="3"/>
  <c r="H133" i="3"/>
  <c r="I133" i="3" s="1"/>
  <c r="J133" i="3" s="1"/>
  <c r="F14" i="5"/>
  <c r="H14" i="5"/>
  <c r="I14" i="5" s="1"/>
  <c r="J14" i="5" s="1"/>
  <c r="G14" i="5"/>
  <c r="E14" i="5"/>
  <c r="H54" i="3"/>
  <c r="I54" i="3" s="1"/>
  <c r="J54" i="3" s="1"/>
  <c r="F54" i="3"/>
  <c r="F24" i="3"/>
  <c r="H24" i="3"/>
  <c r="I24" i="3" s="1"/>
  <c r="J24" i="3" s="1"/>
  <c r="H13" i="4"/>
  <c r="I13" i="4" s="1"/>
  <c r="J13" i="4" s="1"/>
  <c r="G13" i="4"/>
  <c r="H38" i="2"/>
  <c r="I38" i="2" s="1"/>
  <c r="J38" i="2" s="1"/>
  <c r="E38" i="2"/>
  <c r="F125" i="3"/>
  <c r="H125" i="3"/>
  <c r="I125" i="3" s="1"/>
  <c r="J125" i="3" s="1"/>
  <c r="E15" i="2"/>
  <c r="H15" i="2"/>
  <c r="I15" i="2" s="1"/>
  <c r="J15" i="2" s="1"/>
  <c r="F40" i="5"/>
  <c r="E40" i="5"/>
  <c r="H40" i="5"/>
  <c r="I40" i="5" s="1"/>
  <c r="J40" i="5" s="1"/>
  <c r="G40" i="5"/>
  <c r="H21" i="2"/>
  <c r="I21" i="2" s="1"/>
  <c r="J21" i="2" s="1"/>
  <c r="E21" i="2"/>
  <c r="G136" i="5"/>
  <c r="E136" i="5"/>
  <c r="F136" i="5"/>
  <c r="H136" i="5"/>
  <c r="I136" i="5" s="1"/>
  <c r="J136" i="5" s="1"/>
  <c r="H145" i="5"/>
  <c r="I145" i="5" s="1"/>
  <c r="J145" i="5" s="1"/>
  <c r="G145" i="5"/>
  <c r="F145" i="5"/>
  <c r="E145" i="5"/>
  <c r="H89" i="5"/>
  <c r="I89" i="5" s="1"/>
  <c r="J89" i="5" s="1"/>
  <c r="G89" i="5"/>
  <c r="F89" i="5"/>
  <c r="E89" i="5"/>
  <c r="H55" i="5"/>
  <c r="I55" i="5" s="1"/>
  <c r="J55" i="5" s="1"/>
  <c r="F55" i="5"/>
  <c r="E55" i="5"/>
  <c r="G55" i="5"/>
  <c r="G108" i="5"/>
  <c r="E108" i="5"/>
  <c r="H108" i="5"/>
  <c r="I108" i="5" s="1"/>
  <c r="J108" i="5" s="1"/>
  <c r="F108" i="5"/>
  <c r="H28" i="3"/>
  <c r="I28" i="3" s="1"/>
  <c r="J28" i="3" s="1"/>
  <c r="F28" i="3"/>
  <c r="F60" i="5"/>
  <c r="H60" i="5"/>
  <c r="I60" i="5" s="1"/>
  <c r="J60" i="5" s="1"/>
  <c r="G60" i="5"/>
  <c r="E60" i="5"/>
  <c r="H85" i="5"/>
  <c r="I85" i="5" s="1"/>
  <c r="J85" i="5" s="1"/>
  <c r="F85" i="5"/>
  <c r="G85" i="5"/>
  <c r="E85" i="5"/>
  <c r="H20" i="4"/>
  <c r="I20" i="4" s="1"/>
  <c r="J20" i="4" s="1"/>
  <c r="G20" i="4"/>
  <c r="F154" i="5"/>
  <c r="E154" i="5"/>
  <c r="H154" i="5"/>
  <c r="I154" i="5" s="1"/>
  <c r="J154" i="5" s="1"/>
  <c r="G154" i="5"/>
  <c r="H111" i="5"/>
  <c r="I111" i="5" s="1"/>
  <c r="J111" i="5" s="1"/>
  <c r="F111" i="5"/>
  <c r="E111" i="5"/>
  <c r="G111" i="5"/>
  <c r="F117" i="3"/>
  <c r="H117" i="3"/>
  <c r="I117" i="3" s="1"/>
  <c r="J117" i="3" s="1"/>
  <c r="F78" i="3"/>
  <c r="H78" i="3"/>
  <c r="I78" i="3" s="1"/>
  <c r="J78" i="3" s="1"/>
  <c r="H117" i="5"/>
  <c r="I117" i="5" s="1"/>
  <c r="J117" i="5" s="1"/>
  <c r="G117" i="5"/>
  <c r="F117" i="5"/>
  <c r="E117" i="5"/>
  <c r="H29" i="3"/>
  <c r="I29" i="3" s="1"/>
  <c r="J29" i="3" s="1"/>
  <c r="F29" i="3"/>
  <c r="F178" i="5"/>
  <c r="H178" i="5"/>
  <c r="I178" i="5" s="1"/>
  <c r="J178" i="5" s="1"/>
  <c r="G178" i="5"/>
  <c r="E178" i="5"/>
  <c r="H94" i="5"/>
  <c r="I94" i="5" s="1"/>
  <c r="J94" i="5" s="1"/>
  <c r="G94" i="5"/>
  <c r="F94" i="5"/>
  <c r="E94" i="5"/>
  <c r="F15" i="3"/>
  <c r="H15" i="3"/>
  <c r="I15" i="3" s="1"/>
  <c r="J15" i="3" s="1"/>
  <c r="F79" i="5"/>
  <c r="H79" i="5"/>
  <c r="I79" i="5" s="1"/>
  <c r="J79" i="5" s="1"/>
  <c r="G79" i="5"/>
  <c r="E79" i="5"/>
  <c r="H159" i="5"/>
  <c r="I159" i="5" s="1"/>
  <c r="J159" i="5" s="1"/>
  <c r="E159" i="5"/>
  <c r="F159" i="5"/>
  <c r="G159" i="5"/>
  <c r="G10" i="5"/>
  <c r="F10" i="5"/>
  <c r="H10" i="5"/>
  <c r="I10" i="5" s="1"/>
  <c r="J10" i="5" s="1"/>
  <c r="E10" i="5"/>
  <c r="H104" i="3"/>
  <c r="I104" i="3" s="1"/>
  <c r="J104" i="3" s="1"/>
  <c r="F104" i="3"/>
  <c r="F16" i="3"/>
  <c r="H16" i="3"/>
  <c r="I16" i="3" s="1"/>
  <c r="J16" i="3" s="1"/>
  <c r="H187" i="5"/>
  <c r="I187" i="5" s="1"/>
  <c r="J187" i="5" s="1"/>
  <c r="G187" i="5"/>
  <c r="F187" i="5"/>
  <c r="E187" i="5"/>
  <c r="G73" i="5"/>
  <c r="H73" i="5"/>
  <c r="I73" i="5" s="1"/>
  <c r="J73" i="5" s="1"/>
  <c r="F73" i="5"/>
  <c r="E73" i="5"/>
  <c r="H10" i="1"/>
  <c r="I27" i="4"/>
  <c r="H20" i="2"/>
  <c r="I20" i="2" s="1"/>
  <c r="J20" i="2" s="1"/>
  <c r="E20" i="2"/>
  <c r="H134" i="5"/>
  <c r="J134" i="5" s="1"/>
  <c r="E134" i="5"/>
  <c r="G134" i="5"/>
  <c r="F134" i="5"/>
  <c r="E147" i="5"/>
  <c r="G147" i="5"/>
  <c r="H147" i="5"/>
  <c r="I147" i="5" s="1"/>
  <c r="J147" i="5" s="1"/>
  <c r="F147" i="5"/>
  <c r="H128" i="5"/>
  <c r="I128" i="5" s="1"/>
  <c r="J128" i="5" s="1"/>
  <c r="G128" i="5"/>
  <c r="F128" i="5"/>
  <c r="E128" i="5"/>
  <c r="F98" i="5"/>
  <c r="H98" i="5"/>
  <c r="I98" i="5" s="1"/>
  <c r="J98" i="5" s="1"/>
  <c r="G98" i="5"/>
  <c r="E98" i="5"/>
  <c r="G164" i="5"/>
  <c r="E164" i="5"/>
  <c r="H164" i="5"/>
  <c r="I164" i="5" s="1"/>
  <c r="J164" i="5" s="1"/>
  <c r="F164" i="5"/>
  <c r="F79" i="3"/>
  <c r="H79" i="3"/>
  <c r="I79" i="3" s="1"/>
  <c r="J79" i="3" s="1"/>
  <c r="G157" i="5"/>
  <c r="F157" i="5"/>
  <c r="H157" i="5"/>
  <c r="I157" i="5" s="1"/>
  <c r="J157" i="5" s="1"/>
  <c r="E157" i="5"/>
  <c r="H63" i="5"/>
  <c r="I63" i="5" s="1"/>
  <c r="J63" i="5" s="1"/>
  <c r="G63" i="5"/>
  <c r="F63" i="5"/>
  <c r="E63" i="5"/>
  <c r="H48" i="5"/>
  <c r="I48" i="5" s="1"/>
  <c r="J48" i="5" s="1"/>
  <c r="E48" i="5"/>
  <c r="G48" i="5"/>
  <c r="F48" i="5"/>
  <c r="F126" i="5"/>
  <c r="H126" i="5"/>
  <c r="I126" i="5" s="1"/>
  <c r="J126" i="5" s="1"/>
  <c r="G126" i="5"/>
  <c r="E126" i="5"/>
  <c r="H24" i="2"/>
  <c r="I24" i="2" s="1"/>
  <c r="J24" i="2" s="1"/>
  <c r="E24" i="2"/>
  <c r="H9" i="1"/>
  <c r="I134" i="3"/>
  <c r="H32" i="2"/>
  <c r="I32" i="2" s="1"/>
  <c r="J32" i="2" s="1"/>
  <c r="E32" i="2"/>
  <c r="F122" i="3"/>
  <c r="H122" i="3"/>
  <c r="I122" i="3" s="1"/>
  <c r="J122" i="3" s="1"/>
  <c r="H64" i="3"/>
  <c r="I64" i="3" s="1"/>
  <c r="J64" i="3" s="1"/>
  <c r="F64" i="3"/>
  <c r="H173" i="5"/>
  <c r="I173" i="5" s="1"/>
  <c r="J173" i="5" s="1"/>
  <c r="G173" i="5"/>
  <c r="F173" i="5"/>
  <c r="E173" i="5"/>
  <c r="F181" i="5"/>
  <c r="H181" i="5"/>
  <c r="I181" i="5" s="1"/>
  <c r="J181" i="5" s="1"/>
  <c r="G181" i="5"/>
  <c r="E181" i="5"/>
  <c r="I189" i="5"/>
  <c r="H11" i="1"/>
  <c r="H61" i="5"/>
  <c r="I61" i="5" s="1"/>
  <c r="J61" i="5" s="1"/>
  <c r="G61" i="5"/>
  <c r="F61" i="5"/>
  <c r="E61" i="5"/>
  <c r="F84" i="3"/>
  <c r="H84" i="3"/>
  <c r="I84" i="3" s="1"/>
  <c r="J84" i="3" s="1"/>
  <c r="F71" i="3"/>
  <c r="H71" i="3"/>
  <c r="I71" i="3" s="1"/>
  <c r="J71" i="3" s="1"/>
  <c r="H63" i="3"/>
  <c r="I63" i="3" s="1"/>
  <c r="J63" i="3" s="1"/>
  <c r="F63" i="3"/>
  <c r="H33" i="3"/>
  <c r="I33" i="3" s="1"/>
  <c r="J33" i="3" s="1"/>
  <c r="F33" i="3"/>
  <c r="F182" i="5"/>
  <c r="E182" i="5"/>
  <c r="H182" i="5"/>
  <c r="I182" i="5" s="1"/>
  <c r="J182" i="5" s="1"/>
  <c r="G182" i="5"/>
  <c r="H172" i="5"/>
  <c r="I172" i="5" s="1"/>
  <c r="J172" i="5" s="1"/>
  <c r="F172" i="5"/>
  <c r="E172" i="5"/>
  <c r="G172" i="5"/>
  <c r="G185" i="5"/>
  <c r="F185" i="5"/>
  <c r="H185" i="5"/>
  <c r="I185" i="5" s="1"/>
  <c r="J185" i="5" s="1"/>
  <c r="E185" i="5"/>
  <c r="F23" i="5"/>
  <c r="H23" i="5"/>
  <c r="I23" i="5" s="1"/>
  <c r="J23" i="5" s="1"/>
  <c r="G23" i="5"/>
  <c r="E23" i="5"/>
  <c r="H12" i="2"/>
  <c r="I12" i="2" s="1"/>
  <c r="J12" i="2" s="1"/>
  <c r="E12" i="2"/>
  <c r="E162" i="5"/>
  <c r="H162" i="5"/>
  <c r="I162" i="5" s="1"/>
  <c r="J162" i="5" s="1"/>
  <c r="G162" i="5"/>
  <c r="F162" i="5"/>
  <c r="F89" i="3"/>
  <c r="H89" i="3"/>
  <c r="I89" i="3" s="1"/>
  <c r="J89" i="3" s="1"/>
  <c r="H72" i="3"/>
  <c r="I72" i="3" s="1"/>
  <c r="J72" i="3" s="1"/>
  <c r="F72" i="3"/>
  <c r="H33" i="5"/>
  <c r="I33" i="5" s="1"/>
  <c r="J33" i="5" s="1"/>
  <c r="G33" i="5"/>
  <c r="F33" i="5"/>
  <c r="E33" i="5"/>
  <c r="G17" i="4"/>
  <c r="H17" i="4"/>
  <c r="I17" i="4" s="1"/>
  <c r="J17" i="4" s="1"/>
  <c r="G166" i="5"/>
  <c r="F166" i="5"/>
  <c r="H166" i="5"/>
  <c r="I166" i="5" s="1"/>
  <c r="E166" i="5"/>
  <c r="F67" i="3"/>
  <c r="H67" i="3"/>
  <c r="I67" i="3" s="1"/>
  <c r="J67" i="3" s="1"/>
  <c r="F21" i="3"/>
  <c r="H21" i="3"/>
  <c r="I21" i="3" s="1"/>
  <c r="J21" i="3" s="1"/>
  <c r="H36" i="2"/>
  <c r="I36" i="2" s="1"/>
  <c r="J36" i="2" s="1"/>
  <c r="E36" i="2"/>
  <c r="H22" i="4"/>
  <c r="I22" i="4" s="1"/>
  <c r="J22" i="4" s="1"/>
  <c r="G22" i="4"/>
  <c r="H163" i="5"/>
  <c r="I163" i="5" s="1"/>
  <c r="J163" i="5" s="1"/>
  <c r="F163" i="5"/>
  <c r="E163" i="5"/>
  <c r="G163" i="5"/>
  <c r="H50" i="5"/>
  <c r="I50" i="5" s="1"/>
  <c r="J50" i="5" s="1"/>
  <c r="G50" i="5"/>
  <c r="F50" i="5"/>
  <c r="E50" i="5"/>
  <c r="H34" i="5"/>
  <c r="I34" i="5" s="1"/>
  <c r="J34" i="5" s="1"/>
  <c r="G34" i="5"/>
  <c r="F34" i="5"/>
  <c r="E34" i="5"/>
  <c r="H29" i="5"/>
  <c r="I29" i="5" s="1"/>
  <c r="J29" i="5" s="1"/>
  <c r="G29" i="5"/>
  <c r="F29" i="5"/>
  <c r="E29" i="5"/>
  <c r="F77" i="3"/>
  <c r="H77" i="3"/>
  <c r="I77" i="3" s="1"/>
  <c r="J77" i="3" s="1"/>
  <c r="H153" i="5"/>
  <c r="I153" i="5" s="1"/>
  <c r="J153" i="5" s="1"/>
  <c r="G153" i="5"/>
  <c r="E153" i="5"/>
  <c r="F153" i="5"/>
  <c r="H23" i="2"/>
  <c r="I23" i="2" s="1"/>
  <c r="J23" i="2" s="1"/>
  <c r="E23" i="2"/>
  <c r="H47" i="5"/>
  <c r="I47" i="5" s="1"/>
  <c r="J47" i="5" s="1"/>
  <c r="E47" i="5"/>
  <c r="G47" i="5"/>
  <c r="F47" i="5"/>
  <c r="H109" i="5"/>
  <c r="I109" i="5" s="1"/>
  <c r="J109" i="5" s="1"/>
  <c r="G109" i="5"/>
  <c r="F109" i="5"/>
  <c r="E109" i="5"/>
  <c r="H27" i="5"/>
  <c r="I27" i="5" s="1"/>
  <c r="J27" i="5" s="1"/>
  <c r="F27" i="5"/>
  <c r="E27" i="5"/>
  <c r="D11" i="1"/>
  <c r="G27" i="5"/>
  <c r="F126" i="3"/>
  <c r="H126" i="3"/>
  <c r="I126" i="3" s="1"/>
  <c r="J126" i="3" s="1"/>
  <c r="H9" i="3"/>
  <c r="I9" i="3" s="1"/>
  <c r="J9" i="3" s="1"/>
  <c r="F9" i="3"/>
  <c r="H13" i="5"/>
  <c r="I13" i="5" s="1"/>
  <c r="J13" i="5" s="1"/>
  <c r="G13" i="5"/>
  <c r="F13" i="5"/>
  <c r="E13" i="5"/>
  <c r="G52" i="5"/>
  <c r="E52" i="5"/>
  <c r="H52" i="5"/>
  <c r="I52" i="5" s="1"/>
  <c r="J52" i="5" s="1"/>
  <c r="F52" i="5"/>
  <c r="E14" i="2"/>
  <c r="H14" i="2"/>
  <c r="I14" i="2" s="1"/>
  <c r="J14" i="2" s="1"/>
  <c r="G122" i="5"/>
  <c r="F122" i="5"/>
  <c r="H122" i="5"/>
  <c r="I122" i="5" s="1"/>
  <c r="J122" i="5" s="1"/>
  <c r="E122" i="5"/>
  <c r="G24" i="5"/>
  <c r="E24" i="5"/>
  <c r="H24" i="5"/>
  <c r="I24" i="5" s="1"/>
  <c r="J24" i="5" s="1"/>
  <c r="F24" i="5"/>
  <c r="H7" i="5"/>
  <c r="I7" i="5" s="1"/>
  <c r="G7" i="5"/>
  <c r="F7" i="5"/>
  <c r="E7" i="5"/>
  <c r="H40" i="2"/>
  <c r="I40" i="2" s="1"/>
  <c r="J40" i="2" s="1"/>
  <c r="E40" i="2"/>
  <c r="H19" i="3"/>
  <c r="I19" i="3" s="1"/>
  <c r="J19" i="3" s="1"/>
  <c r="F19" i="3"/>
  <c r="H29" i="2"/>
  <c r="I29" i="2" s="1"/>
  <c r="J29" i="2" s="1"/>
  <c r="E29" i="2"/>
  <c r="G101" i="5"/>
  <c r="H101" i="5"/>
  <c r="I101" i="5" s="1"/>
  <c r="J101" i="5" s="1"/>
  <c r="F101" i="5"/>
  <c r="E101" i="5"/>
  <c r="F108" i="3"/>
  <c r="H108" i="3"/>
  <c r="I108" i="3" s="1"/>
  <c r="J108" i="3" s="1"/>
  <c r="H129" i="3"/>
  <c r="I129" i="3" s="1"/>
  <c r="J129" i="3" s="1"/>
  <c r="F129" i="3"/>
  <c r="F42" i="3"/>
  <c r="H42" i="3"/>
  <c r="I42" i="3" s="1"/>
  <c r="J42" i="3" s="1"/>
  <c r="G110" i="5"/>
  <c r="F110" i="5"/>
  <c r="H110" i="5"/>
  <c r="I110" i="5" s="1"/>
  <c r="J110" i="5" s="1"/>
  <c r="E110" i="5"/>
  <c r="H33" i="2"/>
  <c r="I33" i="2" s="1"/>
  <c r="J33" i="2" s="1"/>
  <c r="E33" i="2"/>
  <c r="H7" i="2"/>
  <c r="I7" i="2" s="1"/>
  <c r="E7" i="2"/>
  <c r="F35" i="3"/>
  <c r="H35" i="3"/>
  <c r="I35" i="3" s="1"/>
  <c r="J35" i="3" s="1"/>
  <c r="H132" i="5"/>
  <c r="I132" i="5" s="1"/>
  <c r="J132" i="5" s="1"/>
  <c r="E132" i="5"/>
  <c r="G132" i="5"/>
  <c r="F132" i="5"/>
  <c r="H9" i="4"/>
  <c r="I9" i="4" s="1"/>
  <c r="J9" i="4" s="1"/>
  <c r="G9" i="4"/>
  <c r="F70" i="5"/>
  <c r="H70" i="5"/>
  <c r="I70" i="5" s="1"/>
  <c r="J70" i="5" s="1"/>
  <c r="G70" i="5"/>
  <c r="E70" i="5"/>
  <c r="H103" i="3"/>
  <c r="I103" i="3" s="1"/>
  <c r="J103" i="3" s="1"/>
  <c r="F103" i="3"/>
  <c r="H97" i="3"/>
  <c r="I97" i="3" s="1"/>
  <c r="J97" i="3" s="1"/>
  <c r="F97" i="3"/>
  <c r="F98" i="3"/>
  <c r="H98" i="3"/>
  <c r="I98" i="3" s="1"/>
  <c r="J98" i="3" s="1"/>
  <c r="H36" i="5"/>
  <c r="I36" i="5" s="1"/>
  <c r="J36" i="5" s="1"/>
  <c r="G36" i="5"/>
  <c r="F36" i="5"/>
  <c r="E36" i="5"/>
  <c r="H90" i="3"/>
  <c r="I90" i="3" s="1"/>
  <c r="J90" i="3" s="1"/>
  <c r="F90" i="3"/>
  <c r="H101" i="3"/>
  <c r="I101" i="3" s="1"/>
  <c r="J101" i="3" s="1"/>
  <c r="F101" i="3"/>
  <c r="I9" i="1" l="1"/>
  <c r="J134" i="3"/>
  <c r="J189" i="5"/>
  <c r="I11" i="1"/>
  <c r="I8" i="1"/>
  <c r="J43" i="2"/>
  <c r="I10" i="1"/>
  <c r="J2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tc={4B1AFE26-5FDF-C68E-6B47-3795B4DA3EFA}</author>
  </authors>
  <commentList>
    <comment ref="C6" authorId="0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连续通道值由右侧两次测量最终平均曲线进行分段线性反插值；推荐值为四舍五入后的整数。末级固定到输入255。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tc={360DC3F4-473A-5518-3562-F69A594083F7}</author>
  </authors>
  <commentList>
    <comment ref="C6" authorId="0" shapeId="0" xr:uid="{00000000-0006-0000-02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连续通道值由右侧两次测量最终平均曲线进行分段线性反插值；推荐值为四舍五入后的整数。末级固定到输入255。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tc={C0E3BE8C-ED90-4FBA-D26C-908A85DC1C3A}</author>
  </authors>
  <commentList>
    <comment ref="C6" authorId="0" shapeId="0" xr:uid="{00000000-0006-0000-03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连续通道值由右侧两次测量最终平均曲线进行分段线性反插值；推荐值为四舍五入后的整数。末级固定到输入255。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tc={E55E24AA-7FCE-0EE1-B4E7-FB073C1A9928}</author>
  </authors>
  <commentList>
    <comment ref="C6" authorId="0" shapeId="0" xr:uid="{00000000-0006-0000-04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连续通道值由右侧两次测量最终平均曲线进行分段线性反插值；推荐值为四舍五入后的整数。末级固定到输入255。</t>
        </r>
      </text>
    </comment>
  </commentList>
</comments>
</file>

<file path=xl/sharedStrings.xml><?xml version="1.0" encoding="utf-8"?>
<sst xmlns="http://schemas.openxmlformats.org/spreadsheetml/2006/main" count="473" uniqueCount="44">
  <si>
    <t>屏幕 RGB 扩展等亮度刺激标定（至刺激值 255）</t>
  </si>
  <si>
    <t>本工作簿保持现有 0–20 级标定不变，并依据两次测量的最终平均曲线，分别把 R、G、Gray 延伸到通道值 255；Blue 已在第20级达到255，不再延伸。</t>
  </si>
  <si>
    <t>标准亮度步长 (cd/m²)</t>
  </si>
  <si>
    <t>现有标定来源</t>
  </si>
  <si>
    <t>D:\Chenghang\FineVision\屏幕RGB_0-20等亮度刺激标定.xlsx</t>
  </si>
  <si>
    <t>原共同范围</t>
  </si>
  <si>
    <t>0–20级（0–23.5 cd/m²）</t>
  </si>
  <si>
    <t>测量平均来源</t>
  </si>
  <si>
    <t>D:\Chenghang\Project_33_ShanghaiPostdoc\设备搭建\屏幕\屏幕亮度_两次测量平均与一致性检查.xlsx</t>
  </si>
  <si>
    <t>通道</t>
  </si>
  <si>
    <t>最大强度等级</t>
  </si>
  <si>
    <t>新增等级数</t>
  </si>
  <si>
    <t>第20级推荐值</t>
  </si>
  <si>
    <t>末级推荐值</t>
  </si>
  <si>
    <t>255实测亮度
(cd/m²)</t>
  </si>
  <si>
    <t>末级目标亮度
(cd/m²)</t>
  </si>
  <si>
    <t>末级预计亮度
(cd/m²)</t>
  </si>
  <si>
    <t>末级误差
(cd/m²)</t>
  </si>
  <si>
    <t>R</t>
  </si>
  <si>
    <t>G</t>
  </si>
  <si>
    <t>B</t>
  </si>
  <si>
    <t>Gray</t>
  </si>
  <si>
    <t>末级规则：强度等级仍按 1.175 cd/m² 递增；若下一整级超过该通道刺激值255的实测亮度，则末级目标亮度取实测上限，因此最后一步可以小于1.175 cd/m²。</t>
  </si>
  <si>
    <t>使用建议：正式实验读取“推荐通道值（整数）”和对应 RGB。若需要严格复现，请同时保留本表中的目标亮度、预计亮度和区段字段。</t>
  </si>
  <si>
    <t>Red：0–36 扩展等亮度刺激标定</t>
  </si>
  <si>
    <t>方法：0–20 级沿用现有标定；21 级以后继续以 1.175 cd/m² 为步长，用两次测量最终平均曲线做分段线性反插值。末级目标亮度截断为刺激值 255 的实测亮度。</t>
  </si>
  <si>
    <t>255实测亮度 (cd/m²)</t>
  </si>
  <si>
    <t>最大刺激值</t>
  </si>
  <si>
    <t>注意：等级 0 定义为 RGB=(0,0,0)，测量曲线中补入 (输入0, 亮度0)。原 0–20 级的目标亮度、连续反插值、推荐整数 RGB 和预计亮度保持不变；“扩展”行仅用于该通道高于 23.5 cd/m² 的范围。</t>
  </si>
  <si>
    <t>强度等级</t>
  </si>
  <si>
    <t>目标亮度
(cd/m²)</t>
  </si>
  <si>
    <t>反插值通道值
(连续)</t>
  </si>
  <si>
    <t>推荐通道值
(整数)</t>
  </si>
  <si>
    <t>预计亮度
(cd/m²)</t>
  </si>
  <si>
    <t>亮度误差
(cd/m²)</t>
  </si>
  <si>
    <t>相对误差</t>
  </si>
  <si>
    <t>区段</t>
  </si>
  <si>
    <t>实测输入值</t>
  </si>
  <si>
    <t>最终平均亮度
(cd/m²)</t>
  </si>
  <si>
    <t>原0–20</t>
  </si>
  <si>
    <t>扩展</t>
  </si>
  <si>
    <t>Green：0–127 扩展等亮度刺激标定</t>
  </si>
  <si>
    <t>Blue：0–20 扩展等亮度刺激标定</t>
  </si>
  <si>
    <t>Gray：0–182 扩展等亮度刺激标定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</si>
</sst>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3">
    <font>
      <sz val="11"/>
      <name val="Carlito"/>
    </font>
    <font>
      <b/>
      <sz val="11"/>
      <color rgb="FFFFFFFF"/>
      <name val="Aptos Display"/>
      <family val="2"/>
    </font>
    <font>
      <sz val="11"/>
      <color rgb="FF37474F"/>
      <name val="Aptos"/>
      <family val="2"/>
    </font>
    <font>
      <b/>
      <sz val="11"/>
      <color rgb="FF1F4E78"/>
      <name val="Carlito"/>
    </font>
    <font>
      <b/>
      <sz val="11"/>
      <color rgb="FF183B56"/>
      <name val="Carlito"/>
    </font>
    <font>
      <sz val="11"/>
      <color rgb="FF6D4C41"/>
      <name val="Carlito"/>
    </font>
    <font>
      <b/>
      <sz val="11"/>
      <color rgb="FFFFFFFF"/>
      <name val="Carlito"/>
    </font>
    <font>
      <sz val="11"/>
      <color rgb="FF263238"/>
      <name val="Carlito"/>
    </font>
    <font>
      <sz val="11"/>
      <color rgb="FF37474F"/>
      <name val="Carlito"/>
    </font>
    <font>
      <b/>
      <sz val="11"/>
      <color rgb="FF173F5F"/>
      <name val="Carlito"/>
    </font>
    <font>
      <sz val="11"/>
      <color rgb="FF2F5D3A"/>
      <name val="Carlito"/>
    </font>
    <font>
      <sz val="11"/>
      <name val="Carlito"/>
    </font>
    <font>
      <sz val="9"/>
      <name val="宋体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DEDEC"/>
      </patternFill>
    </fill>
    <fill>
      <patternFill patternType="solid">
        <fgColor rgb="FFF3F5F7"/>
      </patternFill>
    </fill>
    <fill>
      <patternFill patternType="solid">
        <fgColor rgb="FFFFF2CC"/>
      </patternFill>
    </fill>
    <fill>
      <patternFill patternType="solid">
        <fgColor rgb="FFFFF8E1"/>
      </patternFill>
    </fill>
    <fill>
      <patternFill patternType="solid">
        <fgColor rgb="FF1F4E78"/>
      </patternFill>
    </fill>
    <fill>
      <patternFill patternType="solid">
        <fgColor rgb="FF657786"/>
      </patternFill>
    </fill>
    <fill>
      <patternFill patternType="solid">
        <fgColor rgb="FFF8FAFC"/>
      </patternFill>
    </fill>
    <fill>
      <patternFill patternType="solid">
        <fgColor rgb="FFF3F7FA"/>
      </patternFill>
    </fill>
    <fill>
      <patternFill patternType="solid">
        <fgColor rgb="FFF2F8F2"/>
      </patternFill>
    </fill>
    <fill>
      <patternFill patternType="solid">
        <fgColor rgb="FFEEF1F4"/>
      </patternFill>
    </fill>
    <fill>
      <patternFill patternType="solid">
        <fgColor rgb="FFDDEBF7"/>
      </patternFill>
    </fill>
    <fill>
      <patternFill patternType="solid">
        <fgColor rgb="FF238B45"/>
      </patternFill>
    </fill>
    <fill>
      <patternFill patternType="solid">
        <fgColor rgb="FFEAF7EE"/>
      </patternFill>
    </fill>
    <fill>
      <patternFill patternType="solid">
        <fgColor rgb="FF2C7FB8"/>
      </patternFill>
    </fill>
    <fill>
      <patternFill patternType="solid">
        <fgColor rgb="FFEAF4FB"/>
      </patternFill>
    </fill>
    <fill>
      <patternFill patternType="solid">
        <fgColor rgb="FF173F5F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/>
      <right/>
      <top/>
      <bottom style="thin">
        <color rgb="FFD6DEE5"/>
      </bottom>
      <diagonal/>
    </border>
    <border>
      <left/>
      <right/>
      <top/>
      <bottom style="thin">
        <color rgb="FFE1E7EC"/>
      </bottom>
      <diagonal/>
    </border>
    <border>
      <left/>
      <right/>
      <top style="medium">
        <color rgb="FFC0392B"/>
      </top>
      <bottom style="thin">
        <color rgb="FFE1E7EC"/>
      </bottom>
      <diagonal/>
    </border>
    <border>
      <left/>
      <right/>
      <top style="medium">
        <color rgb="FF238B45"/>
      </top>
      <bottom style="thin">
        <color rgb="FFE1E7EC"/>
      </bottom>
      <diagonal/>
    </border>
    <border>
      <left/>
      <right/>
      <top style="medium">
        <color rgb="FF657786"/>
      </top>
      <bottom style="thin">
        <color rgb="FFE1E7EC"/>
      </bottom>
      <diagonal/>
    </border>
  </borders>
  <cellStyleXfs count="2">
    <xf numFmtId="0" fontId="0" fillId="0" borderId="0"/>
    <xf numFmtId="0" fontId="11" fillId="0" borderId="0"/>
  </cellStyleXfs>
  <cellXfs count="81">
    <xf numFmtId="0" fontId="0" fillId="0" borderId="0" xfId="0"/>
    <xf numFmtId="0" fontId="3" fillId="4" borderId="0" xfId="1" applyFont="1" applyFill="1"/>
    <xf numFmtId="0" fontId="4" fillId="5" borderId="0" xfId="1" applyFont="1" applyFill="1"/>
    <xf numFmtId="176" fontId="4" fillId="5" borderId="0" xfId="1" applyNumberFormat="1" applyFont="1" applyFill="1" applyAlignment="1">
      <alignment horizontal="center" vertical="center"/>
    </xf>
    <xf numFmtId="1" fontId="4" fillId="5" borderId="0" xfId="1" applyNumberFormat="1" applyFont="1" applyFill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1" fontId="7" fillId="9" borderId="0" xfId="1" applyNumberFormat="1" applyFont="1" applyFill="1" applyAlignment="1">
      <alignment horizontal="center" vertical="center"/>
    </xf>
    <xf numFmtId="1" fontId="7" fillId="9" borderId="2" xfId="1" applyNumberFormat="1" applyFont="1" applyFill="1" applyBorder="1" applyAlignment="1">
      <alignment horizontal="center" vertical="center"/>
    </xf>
    <xf numFmtId="176" fontId="7" fillId="9" borderId="0" xfId="1" applyNumberFormat="1" applyFont="1" applyFill="1" applyAlignment="1">
      <alignment horizontal="center" vertical="center"/>
    </xf>
    <xf numFmtId="176" fontId="7" fillId="9" borderId="2" xfId="1" applyNumberFormat="1" applyFont="1" applyFill="1" applyBorder="1" applyAlignment="1">
      <alignment horizontal="center" vertical="center"/>
    </xf>
    <xf numFmtId="176" fontId="7" fillId="6" borderId="0" xfId="1" applyNumberFormat="1" applyFont="1" applyFill="1" applyAlignment="1">
      <alignment horizontal="center" vertical="center"/>
    </xf>
    <xf numFmtId="176" fontId="7" fillId="6" borderId="2" xfId="1" applyNumberFormat="1" applyFont="1" applyFill="1" applyBorder="1" applyAlignment="1">
      <alignment horizontal="center" vertical="center"/>
    </xf>
    <xf numFmtId="1" fontId="7" fillId="6" borderId="0" xfId="1" applyNumberFormat="1" applyFont="1" applyFill="1" applyAlignment="1">
      <alignment horizontal="center" vertical="center"/>
    </xf>
    <xf numFmtId="1" fontId="7" fillId="6" borderId="2" xfId="1" applyNumberFormat="1" applyFont="1" applyFill="1" applyBorder="1" applyAlignment="1">
      <alignment horizontal="center" vertical="center"/>
    </xf>
    <xf numFmtId="1" fontId="7" fillId="3" borderId="0" xfId="1" applyNumberFormat="1" applyFont="1" applyFill="1" applyAlignment="1">
      <alignment horizontal="center" vertical="center"/>
    </xf>
    <xf numFmtId="1" fontId="7" fillId="3" borderId="2" xfId="1" applyNumberFormat="1" applyFont="1" applyFill="1" applyBorder="1" applyAlignment="1">
      <alignment horizontal="center" vertical="center"/>
    </xf>
    <xf numFmtId="176" fontId="7" fillId="10" borderId="0" xfId="1" applyNumberFormat="1" applyFont="1" applyFill="1" applyAlignment="1">
      <alignment horizontal="center" vertical="center"/>
    </xf>
    <xf numFmtId="176" fontId="7" fillId="10" borderId="2" xfId="1" applyNumberFormat="1" applyFont="1" applyFill="1" applyBorder="1" applyAlignment="1">
      <alignment horizontal="center" vertical="center"/>
    </xf>
    <xf numFmtId="10" fontId="7" fillId="11" borderId="0" xfId="1" applyNumberFormat="1" applyFont="1" applyFill="1" applyAlignment="1">
      <alignment horizontal="center" vertical="center"/>
    </xf>
    <xf numFmtId="10" fontId="7" fillId="11" borderId="2" xfId="1" applyNumberFormat="1" applyFont="1" applyFill="1" applyBorder="1" applyAlignment="1">
      <alignment horizontal="center" vertical="center"/>
    </xf>
    <xf numFmtId="0" fontId="7" fillId="12" borderId="0" xfId="1" applyFont="1" applyFill="1" applyAlignment="1">
      <alignment horizontal="center" vertical="center"/>
    </xf>
    <xf numFmtId="0" fontId="7" fillId="12" borderId="2" xfId="1" applyFont="1" applyFill="1" applyBorder="1" applyAlignment="1">
      <alignment horizontal="center" vertical="center"/>
    </xf>
    <xf numFmtId="1" fontId="7" fillId="4" borderId="0" xfId="1" applyNumberFormat="1" applyFont="1" applyFill="1" applyAlignment="1">
      <alignment horizontal="center" vertical="center"/>
    </xf>
    <xf numFmtId="1" fontId="7" fillId="4" borderId="2" xfId="1" applyNumberFormat="1" applyFont="1" applyFill="1" applyBorder="1" applyAlignment="1">
      <alignment horizontal="center" vertical="center"/>
    </xf>
    <xf numFmtId="176" fontId="7" fillId="4" borderId="0" xfId="1" applyNumberFormat="1" applyFont="1" applyFill="1" applyAlignment="1">
      <alignment horizontal="center" vertical="center"/>
    </xf>
    <xf numFmtId="176" fontId="7" fillId="4" borderId="2" xfId="1" applyNumberFormat="1" applyFont="1" applyFill="1" applyBorder="1" applyAlignment="1">
      <alignment horizontal="center" vertical="center"/>
    </xf>
    <xf numFmtId="1" fontId="7" fillId="9" borderId="3" xfId="1" applyNumberFormat="1" applyFont="1" applyFill="1" applyBorder="1" applyAlignment="1">
      <alignment horizontal="center" vertical="center"/>
    </xf>
    <xf numFmtId="176" fontId="7" fillId="9" borderId="3" xfId="1" applyNumberFormat="1" applyFont="1" applyFill="1" applyBorder="1" applyAlignment="1">
      <alignment horizontal="center" vertical="center"/>
    </xf>
    <xf numFmtId="176" fontId="7" fillId="6" borderId="3" xfId="1" applyNumberFormat="1" applyFont="1" applyFill="1" applyBorder="1" applyAlignment="1">
      <alignment horizontal="center" vertical="center"/>
    </xf>
    <xf numFmtId="1" fontId="7" fillId="6" borderId="3" xfId="1" applyNumberFormat="1" applyFont="1" applyFill="1" applyBorder="1" applyAlignment="1">
      <alignment horizontal="center" vertical="center"/>
    </xf>
    <xf numFmtId="1" fontId="7" fillId="3" borderId="3" xfId="1" applyNumberFormat="1" applyFont="1" applyFill="1" applyBorder="1" applyAlignment="1">
      <alignment horizontal="center" vertical="center"/>
    </xf>
    <xf numFmtId="176" fontId="7" fillId="10" borderId="3" xfId="1" applyNumberFormat="1" applyFont="1" applyFill="1" applyBorder="1" applyAlignment="1">
      <alignment horizontal="center" vertical="center"/>
    </xf>
    <xf numFmtId="10" fontId="7" fillId="11" borderId="3" xfId="1" applyNumberFormat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3" fillId="13" borderId="0" xfId="1" applyFont="1" applyFill="1" applyAlignment="1">
      <alignment horizontal="center" vertical="center"/>
    </xf>
    <xf numFmtId="0" fontId="3" fillId="13" borderId="2" xfId="1" applyFont="1" applyFill="1" applyBorder="1" applyAlignment="1">
      <alignment horizontal="center" vertical="center"/>
    </xf>
    <xf numFmtId="1" fontId="7" fillId="15" borderId="0" xfId="1" applyNumberFormat="1" applyFont="1" applyFill="1" applyAlignment="1">
      <alignment horizontal="center" vertical="center"/>
    </xf>
    <xf numFmtId="1" fontId="7" fillId="15" borderId="2" xfId="1" applyNumberFormat="1" applyFont="1" applyFill="1" applyBorder="1" applyAlignment="1">
      <alignment horizontal="center" vertical="center"/>
    </xf>
    <xf numFmtId="1" fontId="7" fillId="9" borderId="4" xfId="1" applyNumberFormat="1" applyFont="1" applyFill="1" applyBorder="1" applyAlignment="1">
      <alignment horizontal="center" vertical="center"/>
    </xf>
    <xf numFmtId="176" fontId="7" fillId="9" borderId="4" xfId="1" applyNumberFormat="1" applyFont="1" applyFill="1" applyBorder="1" applyAlignment="1">
      <alignment horizontal="center" vertical="center"/>
    </xf>
    <xf numFmtId="176" fontId="7" fillId="6" borderId="4" xfId="1" applyNumberFormat="1" applyFont="1" applyFill="1" applyBorder="1" applyAlignment="1">
      <alignment horizontal="center" vertical="center"/>
    </xf>
    <xf numFmtId="1" fontId="7" fillId="6" borderId="4" xfId="1" applyNumberFormat="1" applyFont="1" applyFill="1" applyBorder="1" applyAlignment="1">
      <alignment horizontal="center" vertical="center"/>
    </xf>
    <xf numFmtId="1" fontId="7" fillId="15" borderId="4" xfId="1" applyNumberFormat="1" applyFont="1" applyFill="1" applyBorder="1" applyAlignment="1">
      <alignment horizontal="center" vertical="center"/>
    </xf>
    <xf numFmtId="176" fontId="7" fillId="10" borderId="4" xfId="1" applyNumberFormat="1" applyFont="1" applyFill="1" applyBorder="1" applyAlignment="1">
      <alignment horizontal="center" vertical="center"/>
    </xf>
    <xf numFmtId="10" fontId="7" fillId="11" borderId="4" xfId="1" applyNumberFormat="1" applyFont="1" applyFill="1" applyBorder="1" applyAlignment="1">
      <alignment horizontal="center" vertical="center"/>
    </xf>
    <xf numFmtId="0" fontId="3" fillId="13" borderId="4" xfId="1" applyFont="1" applyFill="1" applyBorder="1" applyAlignment="1">
      <alignment horizontal="center" vertical="center"/>
    </xf>
    <xf numFmtId="1" fontId="7" fillId="17" borderId="0" xfId="1" applyNumberFormat="1" applyFont="1" applyFill="1" applyAlignment="1">
      <alignment horizontal="center" vertical="center"/>
    </xf>
    <xf numFmtId="1" fontId="7" fillId="17" borderId="2" xfId="1" applyNumberFormat="1" applyFont="1" applyFill="1" applyBorder="1" applyAlignment="1">
      <alignment horizontal="center" vertical="center"/>
    </xf>
    <xf numFmtId="1" fontId="7" fillId="12" borderId="0" xfId="1" applyNumberFormat="1" applyFont="1" applyFill="1" applyAlignment="1">
      <alignment horizontal="center" vertical="center"/>
    </xf>
    <xf numFmtId="1" fontId="7" fillId="12" borderId="2" xfId="1" applyNumberFormat="1" applyFont="1" applyFill="1" applyBorder="1" applyAlignment="1">
      <alignment horizontal="center" vertical="center"/>
    </xf>
    <xf numFmtId="1" fontId="7" fillId="9" borderId="5" xfId="1" applyNumberFormat="1" applyFont="1" applyFill="1" applyBorder="1" applyAlignment="1">
      <alignment horizontal="center" vertical="center"/>
    </xf>
    <xf numFmtId="176" fontId="7" fillId="9" borderId="5" xfId="1" applyNumberFormat="1" applyFont="1" applyFill="1" applyBorder="1" applyAlignment="1">
      <alignment horizontal="center" vertical="center"/>
    </xf>
    <xf numFmtId="176" fontId="7" fillId="6" borderId="5" xfId="1" applyNumberFormat="1" applyFont="1" applyFill="1" applyBorder="1" applyAlignment="1">
      <alignment horizontal="center" vertical="center"/>
    </xf>
    <xf numFmtId="1" fontId="7" fillId="6" borderId="5" xfId="1" applyNumberFormat="1" applyFont="1" applyFill="1" applyBorder="1" applyAlignment="1">
      <alignment horizontal="center" vertical="center"/>
    </xf>
    <xf numFmtId="1" fontId="7" fillId="12" borderId="5" xfId="1" applyNumberFormat="1" applyFont="1" applyFill="1" applyBorder="1" applyAlignment="1">
      <alignment horizontal="center" vertical="center"/>
    </xf>
    <xf numFmtId="176" fontId="7" fillId="10" borderId="5" xfId="1" applyNumberFormat="1" applyFont="1" applyFill="1" applyBorder="1" applyAlignment="1">
      <alignment horizontal="center" vertical="center"/>
    </xf>
    <xf numFmtId="10" fontId="7" fillId="11" borderId="5" xfId="1" applyNumberFormat="1" applyFont="1" applyFill="1" applyBorder="1" applyAlignment="1">
      <alignment horizontal="center" vertical="center"/>
    </xf>
    <xf numFmtId="0" fontId="3" fillId="13" borderId="5" xfId="1" applyFont="1" applyFill="1" applyBorder="1" applyAlignment="1">
      <alignment horizontal="center" vertical="center"/>
    </xf>
    <xf numFmtId="0" fontId="6" fillId="7" borderId="0" xfId="1" applyFont="1" applyFill="1" applyAlignment="1">
      <alignment horizontal="center" vertical="center" wrapText="1"/>
    </xf>
    <xf numFmtId="0" fontId="9" fillId="19" borderId="0" xfId="1" applyFont="1" applyFill="1" applyAlignment="1">
      <alignment horizontal="center" vertical="center"/>
    </xf>
    <xf numFmtId="0" fontId="9" fillId="19" borderId="1" xfId="1" applyFont="1" applyFill="1" applyBorder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0" fontId="1" fillId="18" borderId="0" xfId="1" applyFont="1" applyFill="1" applyAlignment="1">
      <alignment vertical="center"/>
    </xf>
    <xf numFmtId="0" fontId="8" fillId="19" borderId="0" xfId="1" applyFont="1" applyFill="1" applyAlignment="1">
      <alignment vertical="center" wrapText="1"/>
    </xf>
    <xf numFmtId="0" fontId="8" fillId="9" borderId="0" xfId="1" applyFont="1" applyFill="1" applyAlignment="1">
      <alignment vertical="center" wrapText="1"/>
    </xf>
    <xf numFmtId="0" fontId="5" fillId="6" borderId="0" xfId="1" applyFont="1" applyFill="1" applyAlignment="1">
      <alignment wrapText="1"/>
    </xf>
    <xf numFmtId="0" fontId="10" fillId="15" borderId="0" xfId="1" applyFont="1" applyFill="1" applyAlignment="1">
      <alignment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center" vertical="center"/>
    </xf>
    <xf numFmtId="0" fontId="5" fillId="6" borderId="0" xfId="1" applyFont="1" applyFill="1" applyAlignment="1">
      <alignment vertical="center" wrapText="1"/>
    </xf>
    <xf numFmtId="0" fontId="1" fillId="14" borderId="0" xfId="1" applyFont="1" applyFill="1" applyAlignment="1">
      <alignment vertical="center"/>
    </xf>
    <xf numFmtId="0" fontId="2" fillId="15" borderId="0" xfId="1" applyFont="1" applyFill="1" applyAlignment="1">
      <alignment vertical="center" wrapText="1"/>
    </xf>
    <xf numFmtId="0" fontId="1" fillId="16" borderId="0" xfId="1" applyFont="1" applyFill="1" applyAlignment="1">
      <alignment vertical="center"/>
    </xf>
    <xf numFmtId="0" fontId="2" fillId="17" borderId="0" xfId="1" applyFont="1" applyFill="1" applyAlignment="1">
      <alignment vertical="center" wrapText="1"/>
    </xf>
    <xf numFmtId="0" fontId="1" fillId="8" borderId="0" xfId="1" applyFont="1" applyFill="1" applyAlignment="1">
      <alignment vertical="center"/>
    </xf>
    <xf numFmtId="0" fontId="2" fillId="1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f142cacf0e80491f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457200</xdr:colOff>
      <xdr:row>45</xdr:row>
      <xdr:rowOff>57150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8728363-4E92-9694-55A8-69A6EB1AD8A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457200</xdr:colOff>
      <xdr:row>45</xdr:row>
      <xdr:rowOff>38100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E3B29D8-701A-236D-921D-80B17A8EBAF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457200</xdr:colOff>
      <xdr:row>46</xdr:row>
      <xdr:rowOff>28575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AC1943CF-760E-85EF-732B-8F88F9847F5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457200</xdr:colOff>
      <xdr:row>45</xdr:row>
      <xdr:rowOff>38100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60BD8F63-B3AE-84AD-1624-FBA393791A2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Chenghang" id="{FFB5DA03-ABB1-430C-AC13-C7EA34BEB16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C6" dT="2026-07-31T03:55:10.567" personId="{FFB5DA03-ABB1-430C-AC13-C7EA34BEB166}" id="{4B1AFE26-5FDF-C68E-6B47-3795B4DA3EFA}">
    <xltc:text>连续通道值由右侧两次测量最终平均曲线进行分段线性反插值；推荐值为四舍五入后的整数。末级固定到输入255。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6" dT="2026-07-31T03:55:10.68" personId="{FFB5DA03-ABB1-430C-AC13-C7EA34BEB166}" id="{360DC3F4-473A-5518-3562-F69A594083F7}">
    <xltc:text>连续通道值由右侧两次测量最终平均曲线进行分段线性反插值；推荐值为四舍五入后的整数。末级固定到输入255。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6" dT="2026-07-31T03:55:10.701" personId="{FFB5DA03-ABB1-430C-AC13-C7EA34BEB166}" id="{C0E3BE8C-ED90-4FBA-D26C-908A85DC1C3A}">
    <xltc:text>连续通道值由右侧两次测量最终平均曲线进行分段线性反插值；推荐值为四舍五入后的整数。末级固定到输入255。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C6" dT="2026-07-31T03:55:10.852" personId="{FFB5DA03-ABB1-430C-AC13-C7EA34BEB166}" id="{E55E24AA-7FCE-0EE1-B4E7-FB073C1A9928}">
    <xltc:text>连续通道值由右侧两次测量最终平均曲线进行分段线性反插值；推荐值为四舍五入后的整数。末级固定到输入255。</xltc:text>
  </xltc:threadedComment>
</xltc: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cd5305aaaec74dc8" Type="http://schemas.microsoft.com/office/2017/10/relationships/threadedComment" Target="../threadedcomments/threadedcomment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049a50c87e204792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512651e3031a4529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c93366367fce4ae5" Type="http://schemas.microsoft.com/office/2017/10/relationships/threadedComment" Target="../threadedcomments/threadedcomment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workbookViewId="0">
      <selection sqref="A1:I1"/>
    </sheetView>
  </sheetViews>
  <sheetFormatPr defaultRowHeight="14.25"/>
  <cols>
    <col min="1" max="1" width="11" customWidth="1"/>
    <col min="2" max="2" width="15" customWidth="1"/>
    <col min="3" max="3" width="13" customWidth="1"/>
    <col min="4" max="4" width="14" customWidth="1"/>
    <col min="5" max="5" width="13" customWidth="1"/>
    <col min="6" max="8" width="16" customWidth="1"/>
    <col min="9" max="9" width="14" customWidth="1"/>
  </cols>
  <sheetData>
    <row r="1" spans="1:9" ht="32.1" customHeight="1">
      <c r="A1" s="66" t="s">
        <v>0</v>
      </c>
      <c r="B1" s="66"/>
      <c r="C1" s="66"/>
      <c r="D1" s="66"/>
      <c r="E1" s="66"/>
      <c r="F1" s="66"/>
      <c r="G1" s="66"/>
      <c r="H1" s="66"/>
      <c r="I1" s="66"/>
    </row>
    <row r="2" spans="1:9" ht="38.1" customHeight="1">
      <c r="A2" s="67" t="s">
        <v>1</v>
      </c>
      <c r="B2" s="67"/>
      <c r="C2" s="67"/>
      <c r="D2" s="67"/>
      <c r="E2" s="67"/>
      <c r="F2" s="67"/>
      <c r="G2" s="67"/>
      <c r="H2" s="67"/>
      <c r="I2" s="67"/>
    </row>
    <row r="4" spans="1:9" ht="30" customHeight="1">
      <c r="A4" s="1" t="s">
        <v>2</v>
      </c>
      <c r="B4" s="2">
        <v>1.175</v>
      </c>
      <c r="D4" s="1" t="s">
        <v>3</v>
      </c>
      <c r="E4" s="68" t="s">
        <v>4</v>
      </c>
      <c r="F4" s="68"/>
      <c r="G4" s="68"/>
      <c r="H4" s="68"/>
      <c r="I4" s="68"/>
    </row>
    <row r="5" spans="1:9" ht="30" customHeight="1">
      <c r="A5" s="1" t="s">
        <v>5</v>
      </c>
      <c r="B5" s="2" t="s">
        <v>6</v>
      </c>
      <c r="D5" s="1" t="s">
        <v>7</v>
      </c>
      <c r="E5" s="68" t="s">
        <v>8</v>
      </c>
      <c r="F5" s="68"/>
      <c r="G5" s="68"/>
      <c r="H5" s="68"/>
      <c r="I5" s="68"/>
    </row>
    <row r="7" spans="1:9" ht="42" customHeight="1">
      <c r="A7" s="59" t="s">
        <v>9</v>
      </c>
      <c r="B7" s="59" t="s">
        <v>10</v>
      </c>
      <c r="C7" s="59" t="s">
        <v>11</v>
      </c>
      <c r="D7" s="59" t="s">
        <v>12</v>
      </c>
      <c r="E7" s="59" t="s">
        <v>13</v>
      </c>
      <c r="F7" s="59" t="s">
        <v>14</v>
      </c>
      <c r="G7" s="59" t="s">
        <v>15</v>
      </c>
      <c r="H7" s="59" t="s">
        <v>16</v>
      </c>
      <c r="I7" s="59" t="s">
        <v>17</v>
      </c>
    </row>
    <row r="8" spans="1:9" ht="15">
      <c r="A8" s="60" t="s">
        <v>18</v>
      </c>
      <c r="B8" s="62">
        <f>'R'!F3</f>
        <v>36</v>
      </c>
      <c r="C8" s="62">
        <f>B8-20</f>
        <v>16</v>
      </c>
      <c r="D8" s="62">
        <f>'R'!D27</f>
        <v>178</v>
      </c>
      <c r="E8" s="62">
        <f>'R'!D43</f>
        <v>255</v>
      </c>
      <c r="F8" s="64">
        <f>'R'!C3</f>
        <v>42.25</v>
      </c>
      <c r="G8" s="64">
        <f>'R'!B43</f>
        <v>42.25</v>
      </c>
      <c r="H8" s="64">
        <f>'R'!H43</f>
        <v>42.25</v>
      </c>
      <c r="I8" s="64">
        <f>'R'!I43</f>
        <v>0</v>
      </c>
    </row>
    <row r="9" spans="1:9" ht="15">
      <c r="A9" s="60" t="s">
        <v>19</v>
      </c>
      <c r="B9" s="62">
        <f>G!F3</f>
        <v>127</v>
      </c>
      <c r="C9" s="62">
        <f>B9-20</f>
        <v>107</v>
      </c>
      <c r="D9" s="62">
        <f>G!D27</f>
        <v>100</v>
      </c>
      <c r="E9" s="62">
        <f>G!D134</f>
        <v>255</v>
      </c>
      <c r="F9" s="64">
        <f>G!C3</f>
        <v>148.66666666666669</v>
      </c>
      <c r="G9" s="64">
        <f>G!B134</f>
        <v>148.66666666666669</v>
      </c>
      <c r="H9" s="64">
        <f>G!H134</f>
        <v>148.66666666666669</v>
      </c>
      <c r="I9" s="64">
        <f>G!I134</f>
        <v>0</v>
      </c>
    </row>
    <row r="10" spans="1:9" ht="15">
      <c r="A10" s="60" t="s">
        <v>20</v>
      </c>
      <c r="B10" s="62">
        <f>B!F3</f>
        <v>20</v>
      </c>
      <c r="C10" s="62">
        <f>B10-20</f>
        <v>0</v>
      </c>
      <c r="D10" s="62">
        <f>B!D27</f>
        <v>255</v>
      </c>
      <c r="E10" s="62">
        <f>B!D27</f>
        <v>255</v>
      </c>
      <c r="F10" s="64">
        <f>B!C3</f>
        <v>23.5</v>
      </c>
      <c r="G10" s="64">
        <f>B!B27</f>
        <v>23.5</v>
      </c>
      <c r="H10" s="64">
        <f>B!H27</f>
        <v>23.5</v>
      </c>
      <c r="I10" s="64">
        <f>B!I27</f>
        <v>0</v>
      </c>
    </row>
    <row r="11" spans="1:9" ht="15">
      <c r="A11" s="61" t="s">
        <v>21</v>
      </c>
      <c r="B11" s="63">
        <f>Gray!F3</f>
        <v>182</v>
      </c>
      <c r="C11" s="63">
        <f>B11-20</f>
        <v>162</v>
      </c>
      <c r="D11" s="63">
        <f>Gray!D27</f>
        <v>83</v>
      </c>
      <c r="E11" s="63">
        <f>Gray!D189</f>
        <v>255</v>
      </c>
      <c r="F11" s="65">
        <f>Gray!C3</f>
        <v>213.74999999999997</v>
      </c>
      <c r="G11" s="65">
        <f>Gray!B189</f>
        <v>213.74999999999997</v>
      </c>
      <c r="H11" s="65">
        <f>Gray!H189</f>
        <v>213.74999999999997</v>
      </c>
      <c r="I11" s="65">
        <f>Gray!I189</f>
        <v>0</v>
      </c>
    </row>
    <row r="13" spans="1:9" ht="42" customHeight="1">
      <c r="A13" s="69" t="s">
        <v>22</v>
      </c>
      <c r="B13" s="69"/>
      <c r="C13" s="69"/>
      <c r="D13" s="69"/>
      <c r="E13" s="69"/>
      <c r="F13" s="69"/>
      <c r="G13" s="69"/>
      <c r="H13" s="69"/>
      <c r="I13" s="69"/>
    </row>
    <row r="15" spans="1:9" ht="38.1" customHeight="1">
      <c r="A15" s="70" t="s">
        <v>23</v>
      </c>
      <c r="B15" s="70"/>
      <c r="C15" s="70"/>
      <c r="D15" s="70"/>
      <c r="E15" s="70"/>
      <c r="F15" s="70"/>
      <c r="G15" s="70"/>
      <c r="H15" s="70"/>
      <c r="I15" s="70"/>
    </row>
  </sheetData>
  <mergeCells count="6">
    <mergeCell ref="A15:I15"/>
    <mergeCell ref="A1:I1"/>
    <mergeCell ref="A2:I2"/>
    <mergeCell ref="E4:I4"/>
    <mergeCell ref="E5:I5"/>
    <mergeCell ref="A13:I13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showGridLines="0" workbookViewId="0">
      <selection sqref="A1:M1"/>
    </sheetView>
  </sheetViews>
  <sheetFormatPr defaultRowHeight="14.25"/>
  <cols>
    <col min="1" max="1" width="12" customWidth="1"/>
    <col min="2" max="2" width="16" customWidth="1"/>
    <col min="3" max="3" width="19" customWidth="1"/>
    <col min="4" max="4" width="17" customWidth="1"/>
    <col min="5" max="7" width="8" customWidth="1"/>
    <col min="8" max="8" width="16" customWidth="1"/>
    <col min="9" max="9" width="15" customWidth="1"/>
    <col min="10" max="11" width="12" customWidth="1"/>
    <col min="12" max="12" width="14" customWidth="1"/>
    <col min="13" max="13" width="19" customWidth="1"/>
  </cols>
  <sheetData>
    <row r="1" spans="1:13" ht="30" customHeight="1">
      <c r="A1" s="71" t="s">
        <v>24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33.950000000000003" customHeight="1">
      <c r="A2" s="72" t="s">
        <v>25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 ht="24" customHeight="1">
      <c r="A3" s="73" t="s">
        <v>26</v>
      </c>
      <c r="B3" s="73"/>
      <c r="C3" s="3">
        <v>42.25</v>
      </c>
      <c r="D3" s="73" t="s">
        <v>10</v>
      </c>
      <c r="E3" s="73"/>
      <c r="F3" s="4">
        <v>36</v>
      </c>
      <c r="G3" s="73" t="s">
        <v>2</v>
      </c>
      <c r="H3" s="73"/>
      <c r="I3" s="3">
        <v>1.175</v>
      </c>
      <c r="J3" s="73" t="s">
        <v>27</v>
      </c>
      <c r="K3" s="73"/>
      <c r="L3" s="73"/>
      <c r="M3" s="4">
        <v>255</v>
      </c>
    </row>
    <row r="4" spans="1:13" ht="33.950000000000003" customHeight="1">
      <c r="A4" s="74" t="s">
        <v>28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6" spans="1:13" ht="42" customHeight="1">
      <c r="A6" s="5" t="s">
        <v>29</v>
      </c>
      <c r="B6" s="5" t="s">
        <v>30</v>
      </c>
      <c r="C6" s="5" t="s">
        <v>31</v>
      </c>
      <c r="D6" s="5" t="s">
        <v>32</v>
      </c>
      <c r="E6" s="5" t="s">
        <v>18</v>
      </c>
      <c r="F6" s="5" t="s">
        <v>19</v>
      </c>
      <c r="G6" s="5" t="s">
        <v>20</v>
      </c>
      <c r="H6" s="5" t="s">
        <v>33</v>
      </c>
      <c r="I6" s="5" t="s">
        <v>34</v>
      </c>
      <c r="J6" s="5" t="s">
        <v>35</v>
      </c>
      <c r="K6" s="5" t="s">
        <v>36</v>
      </c>
      <c r="L6" s="6" t="s">
        <v>37</v>
      </c>
      <c r="M6" s="6" t="s">
        <v>38</v>
      </c>
    </row>
    <row r="7" spans="1:13">
      <c r="A7" s="7">
        <v>0</v>
      </c>
      <c r="B7" s="9">
        <f t="shared" ref="B7:B43" si="0">MIN(A7*$I$3,$C$3)</f>
        <v>0</v>
      </c>
      <c r="C7" s="11">
        <f t="shared" ref="C7:C43" si="1">IF(B7&lt;=0,0,IF(B7&gt;=$C$3,255,INDEX($L$7:$L$23,MATCH(B7,$M$7:$M$23,1))+(B7-INDEX($M$7:$M$23,MATCH(B7,$M$7:$M$23,1)))*(INDEX($L$7:$L$23,MATCH(B7,$M$7:$M$23,1)+1)-INDEX($L$7:$L$23,MATCH(B7,$M$7:$M$23,1)))/(INDEX($M$7:$M$23,MATCH(B7,$M$7:$M$23,1)+1)-INDEX($M$7:$M$23,MATCH(B7,$M$7:$M$23,1)))))</f>
        <v>0</v>
      </c>
      <c r="D7" s="13">
        <f t="shared" ref="D7:D43" si="2">ROUND(C7,0)</f>
        <v>0</v>
      </c>
      <c r="E7" s="15">
        <f t="shared" ref="E7:E43" si="3">D7</f>
        <v>0</v>
      </c>
      <c r="F7" s="15">
        <f>0</f>
        <v>0</v>
      </c>
      <c r="G7" s="15">
        <f>0</f>
        <v>0</v>
      </c>
      <c r="H7" s="17">
        <f t="shared" ref="H7:H43" si="4">IF(D7&lt;=0,0,IF(D7&gt;=255,$C$3,INDEX($M$7:$M$23,MATCH(D7,$L$7:$L$23,1))+(D7-INDEX($L$7:$L$23,MATCH(D7,$L$7:$L$23,1)))*(INDEX($M$7:$M$23,MATCH(D7,$L$7:$L$23,1)+1)-INDEX($M$7:$M$23,MATCH(D7,$L$7:$L$23,1)))/(INDEX($L$7:$L$23,MATCH(D7,$L$7:$L$23,1)+1)-INDEX($L$7:$L$23,MATCH(D7,$L$7:$L$23,1)))))</f>
        <v>0</v>
      </c>
      <c r="I7" s="17">
        <f t="shared" ref="I7:I43" si="5">H7-B7</f>
        <v>0</v>
      </c>
      <c r="J7" s="19">
        <f t="shared" ref="J7:J43" si="6">IF(B7=0,0,ABS(I7/B7))</f>
        <v>0</v>
      </c>
      <c r="K7" s="21" t="s">
        <v>39</v>
      </c>
      <c r="L7" s="23">
        <v>0</v>
      </c>
      <c r="M7" s="25">
        <v>0</v>
      </c>
    </row>
    <row r="8" spans="1:13">
      <c r="A8" s="7">
        <v>1</v>
      </c>
      <c r="B8" s="9">
        <f t="shared" si="0"/>
        <v>1.175</v>
      </c>
      <c r="C8" s="11">
        <f t="shared" si="1"/>
        <v>36.646260382346561</v>
      </c>
      <c r="D8" s="13">
        <f t="shared" si="2"/>
        <v>37</v>
      </c>
      <c r="E8" s="15">
        <f t="shared" si="3"/>
        <v>37</v>
      </c>
      <c r="F8" s="15">
        <f>0</f>
        <v>0</v>
      </c>
      <c r="G8" s="15">
        <f>0</f>
        <v>0</v>
      </c>
      <c r="H8" s="17">
        <f t="shared" si="4"/>
        <v>1.1936770833333332</v>
      </c>
      <c r="I8" s="17">
        <f t="shared" si="5"/>
        <v>1.8677083333333178E-2</v>
      </c>
      <c r="J8" s="19">
        <f t="shared" si="6"/>
        <v>1.5895390070921854E-2</v>
      </c>
      <c r="K8" s="21" t="s">
        <v>39</v>
      </c>
      <c r="L8" s="23">
        <v>15</v>
      </c>
      <c r="M8" s="25">
        <v>0.35288333333333333</v>
      </c>
    </row>
    <row r="9" spans="1:13">
      <c r="A9" s="7">
        <v>2</v>
      </c>
      <c r="B9" s="9">
        <f t="shared" si="0"/>
        <v>2.35</v>
      </c>
      <c r="C9" s="11">
        <f t="shared" si="1"/>
        <v>54.116564417177912</v>
      </c>
      <c r="D9" s="13">
        <f t="shared" si="2"/>
        <v>54</v>
      </c>
      <c r="E9" s="15">
        <f t="shared" si="3"/>
        <v>54</v>
      </c>
      <c r="F9" s="15">
        <f>0</f>
        <v>0</v>
      </c>
      <c r="G9" s="15">
        <f>0</f>
        <v>0</v>
      </c>
      <c r="H9" s="17">
        <f t="shared" si="4"/>
        <v>2.3397083333333333</v>
      </c>
      <c r="I9" s="17">
        <f t="shared" si="5"/>
        <v>-1.029166666666681E-2</v>
      </c>
      <c r="J9" s="19">
        <f t="shared" si="6"/>
        <v>4.379432624113536E-3</v>
      </c>
      <c r="K9" s="21" t="s">
        <v>39</v>
      </c>
      <c r="L9" s="23">
        <v>31</v>
      </c>
      <c r="M9" s="25">
        <v>0.87688333333333324</v>
      </c>
    </row>
    <row r="10" spans="1:13">
      <c r="A10" s="7">
        <v>3</v>
      </c>
      <c r="B10" s="9">
        <f t="shared" si="0"/>
        <v>3.5250000000000004</v>
      </c>
      <c r="C10" s="11">
        <f t="shared" si="1"/>
        <v>67.32023960373229</v>
      </c>
      <c r="D10" s="13">
        <f t="shared" si="2"/>
        <v>67</v>
      </c>
      <c r="E10" s="15">
        <f t="shared" si="3"/>
        <v>67</v>
      </c>
      <c r="F10" s="15">
        <f>0</f>
        <v>0</v>
      </c>
      <c r="G10" s="15">
        <f>0</f>
        <v>0</v>
      </c>
      <c r="H10" s="17">
        <f t="shared" si="4"/>
        <v>3.4960416666666667</v>
      </c>
      <c r="I10" s="17">
        <f t="shared" si="5"/>
        <v>-2.8958333333333641E-2</v>
      </c>
      <c r="J10" s="19">
        <f t="shared" si="6"/>
        <v>8.2151300236407484E-3</v>
      </c>
      <c r="K10" s="21" t="s">
        <v>39</v>
      </c>
      <c r="L10" s="23">
        <v>47</v>
      </c>
      <c r="M10" s="25">
        <v>1.7216666666666667</v>
      </c>
    </row>
    <row r="11" spans="1:13">
      <c r="A11" s="7">
        <v>4</v>
      </c>
      <c r="B11" s="9">
        <f t="shared" si="0"/>
        <v>4.7</v>
      </c>
      <c r="C11" s="11">
        <f t="shared" si="1"/>
        <v>79.772481040086674</v>
      </c>
      <c r="D11" s="13">
        <f t="shared" si="2"/>
        <v>80</v>
      </c>
      <c r="E11" s="15">
        <f t="shared" si="3"/>
        <v>80</v>
      </c>
      <c r="F11" s="15">
        <f>0</f>
        <v>0</v>
      </c>
      <c r="G11" s="15">
        <f>0</f>
        <v>0</v>
      </c>
      <c r="H11" s="17">
        <f t="shared" si="4"/>
        <v>4.7349999999999994</v>
      </c>
      <c r="I11" s="17">
        <f t="shared" si="5"/>
        <v>3.4999999999999254E-2</v>
      </c>
      <c r="J11" s="19">
        <f t="shared" si="6"/>
        <v>7.4468085106381386E-3</v>
      </c>
      <c r="K11" s="21" t="s">
        <v>39</v>
      </c>
      <c r="L11" s="23">
        <v>63</v>
      </c>
      <c r="M11" s="25">
        <v>3.1343333333333332</v>
      </c>
    </row>
    <row r="12" spans="1:13">
      <c r="A12" s="7">
        <v>5</v>
      </c>
      <c r="B12" s="9">
        <f t="shared" si="0"/>
        <v>5.875</v>
      </c>
      <c r="C12" s="11">
        <f t="shared" si="1"/>
        <v>87.410617551462622</v>
      </c>
      <c r="D12" s="13">
        <f t="shared" si="2"/>
        <v>87</v>
      </c>
      <c r="E12" s="15">
        <f t="shared" si="3"/>
        <v>87</v>
      </c>
      <c r="F12" s="15">
        <f>0</f>
        <v>0</v>
      </c>
      <c r="G12" s="15">
        <f>0</f>
        <v>0</v>
      </c>
      <c r="H12" s="17">
        <f t="shared" si="4"/>
        <v>5.8118333333333325</v>
      </c>
      <c r="I12" s="17">
        <f t="shared" si="5"/>
        <v>-6.3166666666667481E-2</v>
      </c>
      <c r="J12" s="19">
        <f t="shared" si="6"/>
        <v>1.0751773049645528E-2</v>
      </c>
      <c r="K12" s="21" t="s">
        <v>39</v>
      </c>
      <c r="L12" s="23">
        <v>79</v>
      </c>
      <c r="M12" s="25">
        <v>4.5811666666666664</v>
      </c>
    </row>
    <row r="13" spans="1:13">
      <c r="A13" s="7">
        <v>6</v>
      </c>
      <c r="B13" s="9">
        <f t="shared" si="0"/>
        <v>7.0500000000000007</v>
      </c>
      <c r="C13" s="11">
        <f t="shared" si="1"/>
        <v>95.062364660025992</v>
      </c>
      <c r="D13" s="13">
        <f t="shared" si="2"/>
        <v>95</v>
      </c>
      <c r="E13" s="15">
        <f t="shared" si="3"/>
        <v>95</v>
      </c>
      <c r="F13" s="15">
        <f>0</f>
        <v>0</v>
      </c>
      <c r="G13" s="15">
        <f>0</f>
        <v>0</v>
      </c>
      <c r="H13" s="17">
        <f t="shared" si="4"/>
        <v>7.0424999999999995</v>
      </c>
      <c r="I13" s="17">
        <f t="shared" si="5"/>
        <v>-7.5000000000011724E-3</v>
      </c>
      <c r="J13" s="19">
        <f t="shared" si="6"/>
        <v>1.0638297872342087E-3</v>
      </c>
      <c r="K13" s="21" t="s">
        <v>39</v>
      </c>
      <c r="L13" s="23">
        <v>95</v>
      </c>
      <c r="M13" s="25">
        <v>7.0424999999999995</v>
      </c>
    </row>
    <row r="14" spans="1:13">
      <c r="A14" s="7">
        <v>7</v>
      </c>
      <c r="B14" s="9">
        <f t="shared" si="0"/>
        <v>8.2249999999999996</v>
      </c>
      <c r="C14" s="11">
        <f t="shared" si="1"/>
        <v>104.83282806409701</v>
      </c>
      <c r="D14" s="13">
        <f t="shared" si="2"/>
        <v>105</v>
      </c>
      <c r="E14" s="15">
        <f t="shared" si="3"/>
        <v>105</v>
      </c>
      <c r="F14" s="15">
        <f>0</f>
        <v>0</v>
      </c>
      <c r="G14" s="15">
        <f>0</f>
        <v>0</v>
      </c>
      <c r="H14" s="17">
        <f t="shared" si="4"/>
        <v>8.2451041666666658</v>
      </c>
      <c r="I14" s="17">
        <f t="shared" si="5"/>
        <v>2.0104166666666146E-2</v>
      </c>
      <c r="J14" s="19">
        <f t="shared" si="6"/>
        <v>2.4442755825733915E-3</v>
      </c>
      <c r="K14" s="21" t="s">
        <v>39</v>
      </c>
      <c r="L14" s="23">
        <v>111</v>
      </c>
      <c r="M14" s="25">
        <v>8.966666666666665</v>
      </c>
    </row>
    <row r="15" spans="1:13">
      <c r="A15" s="7">
        <v>8</v>
      </c>
      <c r="B15" s="9">
        <f t="shared" si="0"/>
        <v>9.4</v>
      </c>
      <c r="C15" s="11">
        <f t="shared" si="1"/>
        <v>113.57744733581166</v>
      </c>
      <c r="D15" s="13">
        <f t="shared" si="2"/>
        <v>114</v>
      </c>
      <c r="E15" s="15">
        <f t="shared" si="3"/>
        <v>114</v>
      </c>
      <c r="F15" s="15">
        <f>0</f>
        <v>0</v>
      </c>
      <c r="G15" s="15">
        <f>0</f>
        <v>0</v>
      </c>
      <c r="H15" s="17">
        <f t="shared" si="4"/>
        <v>9.4710416666666664</v>
      </c>
      <c r="I15" s="17">
        <f t="shared" si="5"/>
        <v>7.1041666666666003E-2</v>
      </c>
      <c r="J15" s="19">
        <f t="shared" si="6"/>
        <v>7.5576241134751067E-3</v>
      </c>
      <c r="K15" s="21" t="s">
        <v>39</v>
      </c>
      <c r="L15" s="23">
        <v>127</v>
      </c>
      <c r="M15" s="25">
        <v>11.65666666666667</v>
      </c>
    </row>
    <row r="16" spans="1:13">
      <c r="A16" s="7">
        <v>9</v>
      </c>
      <c r="B16" s="9">
        <f t="shared" si="0"/>
        <v>10.575000000000001</v>
      </c>
      <c r="C16" s="11">
        <f t="shared" si="1"/>
        <v>120.56629491945478</v>
      </c>
      <c r="D16" s="13">
        <f t="shared" si="2"/>
        <v>121</v>
      </c>
      <c r="E16" s="15">
        <f t="shared" si="3"/>
        <v>121</v>
      </c>
      <c r="F16" s="15">
        <f>0</f>
        <v>0</v>
      </c>
      <c r="G16" s="15">
        <f>0</f>
        <v>0</v>
      </c>
      <c r="H16" s="17">
        <f t="shared" si="4"/>
        <v>10.647916666666667</v>
      </c>
      <c r="I16" s="17">
        <f t="shared" si="5"/>
        <v>7.2916666666666075E-2</v>
      </c>
      <c r="J16" s="19">
        <f t="shared" si="6"/>
        <v>6.8951930654057745E-3</v>
      </c>
      <c r="K16" s="21" t="s">
        <v>39</v>
      </c>
      <c r="L16" s="23">
        <v>143</v>
      </c>
      <c r="M16" s="25">
        <v>15.411666666666669</v>
      </c>
    </row>
    <row r="17" spans="1:13">
      <c r="A17" s="7">
        <v>10</v>
      </c>
      <c r="B17" s="9">
        <f t="shared" si="0"/>
        <v>11.75</v>
      </c>
      <c r="C17" s="11">
        <f t="shared" si="1"/>
        <v>127.39769196626719</v>
      </c>
      <c r="D17" s="13">
        <f t="shared" si="2"/>
        <v>127</v>
      </c>
      <c r="E17" s="15">
        <f t="shared" si="3"/>
        <v>127</v>
      </c>
      <c r="F17" s="15">
        <f>0</f>
        <v>0</v>
      </c>
      <c r="G17" s="15">
        <f>0</f>
        <v>0</v>
      </c>
      <c r="H17" s="17">
        <f t="shared" si="4"/>
        <v>11.65666666666667</v>
      </c>
      <c r="I17" s="17">
        <f t="shared" si="5"/>
        <v>-9.333333333333016E-2</v>
      </c>
      <c r="J17" s="19">
        <f t="shared" si="6"/>
        <v>7.9432624113472475E-3</v>
      </c>
      <c r="K17" s="21" t="s">
        <v>39</v>
      </c>
      <c r="L17" s="23">
        <v>159</v>
      </c>
      <c r="M17" s="25">
        <v>18.336666666666666</v>
      </c>
    </row>
    <row r="18" spans="1:13">
      <c r="A18" s="7">
        <v>11</v>
      </c>
      <c r="B18" s="9">
        <f t="shared" si="0"/>
        <v>12.925000000000001</v>
      </c>
      <c r="C18" s="11">
        <f t="shared" si="1"/>
        <v>132.40434975588104</v>
      </c>
      <c r="D18" s="13">
        <f t="shared" si="2"/>
        <v>132</v>
      </c>
      <c r="E18" s="15">
        <f t="shared" si="3"/>
        <v>132</v>
      </c>
      <c r="F18" s="15">
        <f>0</f>
        <v>0</v>
      </c>
      <c r="G18" s="15">
        <f>0</f>
        <v>0</v>
      </c>
      <c r="H18" s="17">
        <f t="shared" si="4"/>
        <v>12.83010416666667</v>
      </c>
      <c r="I18" s="17">
        <f t="shared" si="5"/>
        <v>-9.4895833333330515E-2</v>
      </c>
      <c r="J18" s="19">
        <f t="shared" si="6"/>
        <v>7.3420373952286658E-3</v>
      </c>
      <c r="K18" s="21" t="s">
        <v>39</v>
      </c>
      <c r="L18" s="23">
        <v>175</v>
      </c>
      <c r="M18" s="25">
        <v>22.544999999999998</v>
      </c>
    </row>
    <row r="19" spans="1:13">
      <c r="A19" s="7">
        <v>12</v>
      </c>
      <c r="B19" s="9">
        <f t="shared" si="0"/>
        <v>14.100000000000001</v>
      </c>
      <c r="C19" s="11">
        <f t="shared" si="1"/>
        <v>137.4110075454949</v>
      </c>
      <c r="D19" s="13">
        <f t="shared" si="2"/>
        <v>137</v>
      </c>
      <c r="E19" s="15">
        <f t="shared" si="3"/>
        <v>137</v>
      </c>
      <c r="F19" s="15">
        <f>0</f>
        <v>0</v>
      </c>
      <c r="G19" s="15">
        <f>0</f>
        <v>0</v>
      </c>
      <c r="H19" s="17">
        <f t="shared" si="4"/>
        <v>14.003541666666669</v>
      </c>
      <c r="I19" s="17">
        <f t="shared" si="5"/>
        <v>-9.6458333333332646E-2</v>
      </c>
      <c r="J19" s="19">
        <f t="shared" si="6"/>
        <v>6.8410165484633079E-3</v>
      </c>
      <c r="K19" s="21" t="s">
        <v>39</v>
      </c>
      <c r="L19" s="23">
        <v>191</v>
      </c>
      <c r="M19" s="25">
        <v>27.445</v>
      </c>
    </row>
    <row r="20" spans="1:13">
      <c r="A20" s="7">
        <v>13</v>
      </c>
      <c r="B20" s="9">
        <f t="shared" si="0"/>
        <v>15.275</v>
      </c>
      <c r="C20" s="11">
        <f t="shared" si="1"/>
        <v>142.41766533510872</v>
      </c>
      <c r="D20" s="13">
        <f t="shared" si="2"/>
        <v>142</v>
      </c>
      <c r="E20" s="15">
        <f t="shared" si="3"/>
        <v>142</v>
      </c>
      <c r="F20" s="15">
        <f>0</f>
        <v>0</v>
      </c>
      <c r="G20" s="15">
        <f>0</f>
        <v>0</v>
      </c>
      <c r="H20" s="17">
        <f t="shared" si="4"/>
        <v>15.176979166666669</v>
      </c>
      <c r="I20" s="17">
        <f t="shared" si="5"/>
        <v>-9.8020833333331225E-2</v>
      </c>
      <c r="J20" s="19">
        <f t="shared" si="6"/>
        <v>6.4170758319693107E-3</v>
      </c>
      <c r="K20" s="21" t="s">
        <v>39</v>
      </c>
      <c r="L20" s="23">
        <v>207</v>
      </c>
      <c r="M20" s="25">
        <v>30.974999999999998</v>
      </c>
    </row>
    <row r="21" spans="1:13">
      <c r="A21" s="7">
        <v>14</v>
      </c>
      <c r="B21" s="9">
        <f t="shared" si="0"/>
        <v>16.45</v>
      </c>
      <c r="C21" s="11">
        <f t="shared" si="1"/>
        <v>148.67977207977208</v>
      </c>
      <c r="D21" s="13">
        <f t="shared" si="2"/>
        <v>149</v>
      </c>
      <c r="E21" s="15">
        <f t="shared" si="3"/>
        <v>149</v>
      </c>
      <c r="F21" s="15">
        <f>0</f>
        <v>0</v>
      </c>
      <c r="G21" s="15">
        <f>0</f>
        <v>0</v>
      </c>
      <c r="H21" s="17">
        <f t="shared" si="4"/>
        <v>16.508541666666666</v>
      </c>
      <c r="I21" s="17">
        <f t="shared" si="5"/>
        <v>5.8541666666666714E-2</v>
      </c>
      <c r="J21" s="19">
        <f t="shared" si="6"/>
        <v>3.5587639311043598E-3</v>
      </c>
      <c r="K21" s="21" t="s">
        <v>39</v>
      </c>
      <c r="L21" s="23">
        <v>223</v>
      </c>
      <c r="M21" s="25">
        <v>35.32</v>
      </c>
    </row>
    <row r="22" spans="1:13">
      <c r="A22" s="7">
        <v>15</v>
      </c>
      <c r="B22" s="9">
        <f t="shared" si="0"/>
        <v>17.625</v>
      </c>
      <c r="C22" s="11">
        <f t="shared" si="1"/>
        <v>155.10712250712251</v>
      </c>
      <c r="D22" s="13">
        <f t="shared" si="2"/>
        <v>155</v>
      </c>
      <c r="E22" s="15">
        <f t="shared" si="3"/>
        <v>155</v>
      </c>
      <c r="F22" s="15">
        <f>0</f>
        <v>0</v>
      </c>
      <c r="G22" s="15">
        <f>0</f>
        <v>0</v>
      </c>
      <c r="H22" s="17">
        <f t="shared" si="4"/>
        <v>17.605416666666667</v>
      </c>
      <c r="I22" s="17">
        <f t="shared" si="5"/>
        <v>-1.9583333333333286E-2</v>
      </c>
      <c r="J22" s="19">
        <f t="shared" si="6"/>
        <v>1.1111111111111085E-3</v>
      </c>
      <c r="K22" s="21" t="s">
        <v>39</v>
      </c>
      <c r="L22" s="23">
        <v>239</v>
      </c>
      <c r="M22" s="25">
        <v>38.145000000000003</v>
      </c>
    </row>
    <row r="23" spans="1:13">
      <c r="A23" s="7">
        <v>16</v>
      </c>
      <c r="B23" s="9">
        <f t="shared" si="0"/>
        <v>18.8</v>
      </c>
      <c r="C23" s="11">
        <f t="shared" si="1"/>
        <v>160.76158415841584</v>
      </c>
      <c r="D23" s="13">
        <f t="shared" si="2"/>
        <v>161</v>
      </c>
      <c r="E23" s="15">
        <f t="shared" si="3"/>
        <v>161</v>
      </c>
      <c r="F23" s="15">
        <f>0</f>
        <v>0</v>
      </c>
      <c r="G23" s="15">
        <f>0</f>
        <v>0</v>
      </c>
      <c r="H23" s="17">
        <f t="shared" si="4"/>
        <v>18.862708333333334</v>
      </c>
      <c r="I23" s="17">
        <f t="shared" si="5"/>
        <v>6.2708333333333144E-2</v>
      </c>
      <c r="J23" s="19">
        <f t="shared" si="6"/>
        <v>3.3355496453900606E-3</v>
      </c>
      <c r="K23" s="21" t="s">
        <v>39</v>
      </c>
      <c r="L23" s="24">
        <v>255</v>
      </c>
      <c r="M23" s="26">
        <v>42.25</v>
      </c>
    </row>
    <row r="24" spans="1:13">
      <c r="A24" s="7">
        <v>17</v>
      </c>
      <c r="B24" s="9">
        <f t="shared" si="0"/>
        <v>19.975000000000001</v>
      </c>
      <c r="C24" s="11">
        <f t="shared" si="1"/>
        <v>165.22891089108913</v>
      </c>
      <c r="D24" s="13">
        <f t="shared" si="2"/>
        <v>165</v>
      </c>
      <c r="E24" s="15">
        <f t="shared" si="3"/>
        <v>165</v>
      </c>
      <c r="F24" s="15">
        <f>0</f>
        <v>0</v>
      </c>
      <c r="G24" s="15">
        <f>0</f>
        <v>0</v>
      </c>
      <c r="H24" s="17">
        <f t="shared" si="4"/>
        <v>19.914791666666666</v>
      </c>
      <c r="I24" s="17">
        <f t="shared" si="5"/>
        <v>-6.0208333333335418E-2</v>
      </c>
      <c r="J24" s="19">
        <f t="shared" si="6"/>
        <v>3.0141843971632247E-3</v>
      </c>
      <c r="K24" s="21" t="s">
        <v>39</v>
      </c>
    </row>
    <row r="25" spans="1:13">
      <c r="A25" s="7">
        <v>18</v>
      </c>
      <c r="B25" s="9">
        <f t="shared" si="0"/>
        <v>21.150000000000002</v>
      </c>
      <c r="C25" s="11">
        <f t="shared" si="1"/>
        <v>169.69623762376239</v>
      </c>
      <c r="D25" s="13">
        <f t="shared" si="2"/>
        <v>170</v>
      </c>
      <c r="E25" s="15">
        <f t="shared" si="3"/>
        <v>170</v>
      </c>
      <c r="F25" s="15">
        <f>0</f>
        <v>0</v>
      </c>
      <c r="G25" s="15">
        <f>0</f>
        <v>0</v>
      </c>
      <c r="H25" s="17">
        <f t="shared" si="4"/>
        <v>21.22989583333333</v>
      </c>
      <c r="I25" s="17">
        <f t="shared" si="5"/>
        <v>7.989583333332817E-2</v>
      </c>
      <c r="J25" s="19">
        <f t="shared" si="6"/>
        <v>3.777580772261379E-3</v>
      </c>
      <c r="K25" s="21" t="s">
        <v>39</v>
      </c>
    </row>
    <row r="26" spans="1:13">
      <c r="A26" s="7">
        <v>19</v>
      </c>
      <c r="B26" s="9">
        <f t="shared" si="0"/>
        <v>22.324999999999999</v>
      </c>
      <c r="C26" s="11">
        <f t="shared" si="1"/>
        <v>174.16356435643564</v>
      </c>
      <c r="D26" s="13">
        <f t="shared" si="2"/>
        <v>174</v>
      </c>
      <c r="E26" s="15">
        <f t="shared" si="3"/>
        <v>174</v>
      </c>
      <c r="F26" s="15">
        <f>0</f>
        <v>0</v>
      </c>
      <c r="G26" s="15">
        <f>0</f>
        <v>0</v>
      </c>
      <c r="H26" s="17">
        <f t="shared" si="4"/>
        <v>22.281979166666666</v>
      </c>
      <c r="I26" s="17">
        <f t="shared" si="5"/>
        <v>-4.3020833333333286E-2</v>
      </c>
      <c r="J26" s="19">
        <f t="shared" si="6"/>
        <v>1.9270250093318382E-3</v>
      </c>
      <c r="K26" s="21" t="s">
        <v>39</v>
      </c>
    </row>
    <row r="27" spans="1:13">
      <c r="A27" s="7">
        <v>20</v>
      </c>
      <c r="B27" s="9">
        <f t="shared" si="0"/>
        <v>23.5</v>
      </c>
      <c r="C27" s="11">
        <f t="shared" si="1"/>
        <v>178.11836734693878</v>
      </c>
      <c r="D27" s="13">
        <f t="shared" si="2"/>
        <v>178</v>
      </c>
      <c r="E27" s="15">
        <f t="shared" si="3"/>
        <v>178</v>
      </c>
      <c r="F27" s="15">
        <f>0</f>
        <v>0</v>
      </c>
      <c r="G27" s="15">
        <f>0</f>
        <v>0</v>
      </c>
      <c r="H27" s="17">
        <f t="shared" si="4"/>
        <v>23.463749999999997</v>
      </c>
      <c r="I27" s="17">
        <f t="shared" si="5"/>
        <v>-3.6250000000002558E-2</v>
      </c>
      <c r="J27" s="19">
        <f t="shared" si="6"/>
        <v>1.5425531914894707E-3</v>
      </c>
      <c r="K27" s="21" t="s">
        <v>39</v>
      </c>
    </row>
    <row r="28" spans="1:13" ht="15">
      <c r="A28" s="27">
        <v>21</v>
      </c>
      <c r="B28" s="28">
        <f t="shared" si="0"/>
        <v>24.675000000000001</v>
      </c>
      <c r="C28" s="29">
        <f t="shared" si="1"/>
        <v>181.95510204081634</v>
      </c>
      <c r="D28" s="30">
        <f t="shared" si="2"/>
        <v>182</v>
      </c>
      <c r="E28" s="31">
        <f t="shared" si="3"/>
        <v>182</v>
      </c>
      <c r="F28" s="31">
        <f>0</f>
        <v>0</v>
      </c>
      <c r="G28" s="31">
        <f>0</f>
        <v>0</v>
      </c>
      <c r="H28" s="32">
        <f t="shared" si="4"/>
        <v>24.688749999999999</v>
      </c>
      <c r="I28" s="32">
        <f t="shared" si="5"/>
        <v>1.3749999999998153E-2</v>
      </c>
      <c r="J28" s="33">
        <f t="shared" si="6"/>
        <v>5.5724417426537593E-4</v>
      </c>
      <c r="K28" s="34" t="s">
        <v>40</v>
      </c>
    </row>
    <row r="29" spans="1:13" ht="15">
      <c r="A29" s="7">
        <v>22</v>
      </c>
      <c r="B29" s="9">
        <f t="shared" si="0"/>
        <v>25.85</v>
      </c>
      <c r="C29" s="11">
        <f t="shared" si="1"/>
        <v>185.79183673469387</v>
      </c>
      <c r="D29" s="13">
        <f t="shared" si="2"/>
        <v>186</v>
      </c>
      <c r="E29" s="15">
        <f t="shared" si="3"/>
        <v>186</v>
      </c>
      <c r="F29" s="15">
        <f>0</f>
        <v>0</v>
      </c>
      <c r="G29" s="15">
        <f>0</f>
        <v>0</v>
      </c>
      <c r="H29" s="17">
        <f t="shared" si="4"/>
        <v>25.91375</v>
      </c>
      <c r="I29" s="17">
        <f t="shared" si="5"/>
        <v>6.3749999999998863E-2</v>
      </c>
      <c r="J29" s="19">
        <f t="shared" si="6"/>
        <v>2.4661508704061454E-3</v>
      </c>
      <c r="K29" s="35" t="s">
        <v>40</v>
      </c>
    </row>
    <row r="30" spans="1:13" ht="15">
      <c r="A30" s="7">
        <v>23</v>
      </c>
      <c r="B30" s="9">
        <f t="shared" si="0"/>
        <v>27.025000000000002</v>
      </c>
      <c r="C30" s="11">
        <f t="shared" si="1"/>
        <v>189.62857142857143</v>
      </c>
      <c r="D30" s="13">
        <f t="shared" si="2"/>
        <v>190</v>
      </c>
      <c r="E30" s="15">
        <f t="shared" si="3"/>
        <v>190</v>
      </c>
      <c r="F30" s="15">
        <f>0</f>
        <v>0</v>
      </c>
      <c r="G30" s="15">
        <f>0</f>
        <v>0</v>
      </c>
      <c r="H30" s="17">
        <f t="shared" si="4"/>
        <v>27.138750000000002</v>
      </c>
      <c r="I30" s="17">
        <f t="shared" si="5"/>
        <v>0.11374999999999957</v>
      </c>
      <c r="J30" s="19">
        <f t="shared" si="6"/>
        <v>4.209065679925978E-3</v>
      </c>
      <c r="K30" s="35" t="s">
        <v>40</v>
      </c>
    </row>
    <row r="31" spans="1:13" ht="15">
      <c r="A31" s="7">
        <v>24</v>
      </c>
      <c r="B31" s="9">
        <f t="shared" si="0"/>
        <v>28.200000000000003</v>
      </c>
      <c r="C31" s="11">
        <f t="shared" si="1"/>
        <v>194.42209631728048</v>
      </c>
      <c r="D31" s="13">
        <f t="shared" si="2"/>
        <v>194</v>
      </c>
      <c r="E31" s="15">
        <f t="shared" si="3"/>
        <v>194</v>
      </c>
      <c r="F31" s="15">
        <f>0</f>
        <v>0</v>
      </c>
      <c r="G31" s="15">
        <f>0</f>
        <v>0</v>
      </c>
      <c r="H31" s="17">
        <f t="shared" si="4"/>
        <v>28.106874999999999</v>
      </c>
      <c r="I31" s="17">
        <f t="shared" si="5"/>
        <v>-9.3125000000004121E-2</v>
      </c>
      <c r="J31" s="19">
        <f t="shared" si="6"/>
        <v>3.3023049645391528E-3</v>
      </c>
      <c r="K31" s="35" t="s">
        <v>40</v>
      </c>
    </row>
    <row r="32" spans="1:13" ht="15">
      <c r="A32" s="7">
        <v>25</v>
      </c>
      <c r="B32" s="9">
        <f t="shared" si="0"/>
        <v>29.375</v>
      </c>
      <c r="C32" s="11">
        <f t="shared" si="1"/>
        <v>199.74787535410766</v>
      </c>
      <c r="D32" s="13">
        <f t="shared" si="2"/>
        <v>200</v>
      </c>
      <c r="E32" s="15">
        <f t="shared" si="3"/>
        <v>200</v>
      </c>
      <c r="F32" s="15">
        <f>0</f>
        <v>0</v>
      </c>
      <c r="G32" s="15">
        <f>0</f>
        <v>0</v>
      </c>
      <c r="H32" s="17">
        <f t="shared" si="4"/>
        <v>29.430624999999999</v>
      </c>
      <c r="I32" s="17">
        <f t="shared" si="5"/>
        <v>5.5624999999999147E-2</v>
      </c>
      <c r="J32" s="19">
        <f t="shared" si="6"/>
        <v>1.8936170212765667E-3</v>
      </c>
      <c r="K32" s="35" t="s">
        <v>40</v>
      </c>
    </row>
    <row r="33" spans="1:11" ht="15">
      <c r="A33" s="7">
        <v>26</v>
      </c>
      <c r="B33" s="9">
        <f t="shared" si="0"/>
        <v>30.55</v>
      </c>
      <c r="C33" s="11">
        <f t="shared" si="1"/>
        <v>205.07365439093485</v>
      </c>
      <c r="D33" s="13">
        <f t="shared" si="2"/>
        <v>205</v>
      </c>
      <c r="E33" s="15">
        <f t="shared" si="3"/>
        <v>205</v>
      </c>
      <c r="F33" s="15">
        <f>0</f>
        <v>0</v>
      </c>
      <c r="G33" s="15">
        <f>0</f>
        <v>0</v>
      </c>
      <c r="H33" s="17">
        <f t="shared" si="4"/>
        <v>30.533749999999998</v>
      </c>
      <c r="I33" s="17">
        <f t="shared" si="5"/>
        <v>-1.6250000000002984E-2</v>
      </c>
      <c r="J33" s="19">
        <f t="shared" si="6"/>
        <v>5.3191489361711897E-4</v>
      </c>
      <c r="K33" s="35" t="s">
        <v>40</v>
      </c>
    </row>
    <row r="34" spans="1:11" ht="15">
      <c r="A34" s="7">
        <v>27</v>
      </c>
      <c r="B34" s="9">
        <f t="shared" si="0"/>
        <v>31.725000000000001</v>
      </c>
      <c r="C34" s="11">
        <f t="shared" si="1"/>
        <v>209.76179516685846</v>
      </c>
      <c r="D34" s="13">
        <f t="shared" si="2"/>
        <v>210</v>
      </c>
      <c r="E34" s="15">
        <f t="shared" si="3"/>
        <v>210</v>
      </c>
      <c r="F34" s="15">
        <f>0</f>
        <v>0</v>
      </c>
      <c r="G34" s="15">
        <f>0</f>
        <v>0</v>
      </c>
      <c r="H34" s="17">
        <f t="shared" si="4"/>
        <v>31.789687499999999</v>
      </c>
      <c r="I34" s="17">
        <f t="shared" si="5"/>
        <v>6.468749999999801E-2</v>
      </c>
      <c r="J34" s="19">
        <f t="shared" si="6"/>
        <v>2.0390070921985186E-3</v>
      </c>
      <c r="K34" s="35" t="s">
        <v>40</v>
      </c>
    </row>
    <row r="35" spans="1:11" ht="15">
      <c r="A35" s="7">
        <v>28</v>
      </c>
      <c r="B35" s="9">
        <f t="shared" si="0"/>
        <v>32.9</v>
      </c>
      <c r="C35" s="11">
        <f t="shared" si="1"/>
        <v>214.08860759493672</v>
      </c>
      <c r="D35" s="13">
        <f t="shared" si="2"/>
        <v>214</v>
      </c>
      <c r="E35" s="15">
        <f t="shared" si="3"/>
        <v>214</v>
      </c>
      <c r="F35" s="15">
        <f>0</f>
        <v>0</v>
      </c>
      <c r="G35" s="15">
        <f>0</f>
        <v>0</v>
      </c>
      <c r="H35" s="17">
        <f t="shared" si="4"/>
        <v>32.875937499999999</v>
      </c>
      <c r="I35" s="17">
        <f t="shared" si="5"/>
        <v>-2.4062499999999432E-2</v>
      </c>
      <c r="J35" s="19">
        <f t="shared" si="6"/>
        <v>7.3138297872338699E-4</v>
      </c>
      <c r="K35" s="35" t="s">
        <v>40</v>
      </c>
    </row>
    <row r="36" spans="1:11" ht="15">
      <c r="A36" s="7">
        <v>29</v>
      </c>
      <c r="B36" s="9">
        <f t="shared" si="0"/>
        <v>34.075000000000003</v>
      </c>
      <c r="C36" s="11">
        <f t="shared" si="1"/>
        <v>218.41542002301497</v>
      </c>
      <c r="D36" s="13">
        <f t="shared" si="2"/>
        <v>218</v>
      </c>
      <c r="E36" s="15">
        <f t="shared" si="3"/>
        <v>218</v>
      </c>
      <c r="F36" s="15">
        <f>0</f>
        <v>0</v>
      </c>
      <c r="G36" s="15">
        <f>0</f>
        <v>0</v>
      </c>
      <c r="H36" s="17">
        <f t="shared" si="4"/>
        <v>33.962187499999999</v>
      </c>
      <c r="I36" s="17">
        <f t="shared" si="5"/>
        <v>-0.11281250000000398</v>
      </c>
      <c r="J36" s="19">
        <f t="shared" si="6"/>
        <v>3.3107116654439903E-3</v>
      </c>
      <c r="K36" s="35" t="s">
        <v>40</v>
      </c>
    </row>
    <row r="37" spans="1:11" ht="15">
      <c r="A37" s="7">
        <v>30</v>
      </c>
      <c r="B37" s="9">
        <f t="shared" si="0"/>
        <v>35.25</v>
      </c>
      <c r="C37" s="11">
        <f t="shared" si="1"/>
        <v>222.7422324510932</v>
      </c>
      <c r="D37" s="13">
        <f t="shared" si="2"/>
        <v>223</v>
      </c>
      <c r="E37" s="15">
        <f t="shared" si="3"/>
        <v>223</v>
      </c>
      <c r="F37" s="15">
        <f>0</f>
        <v>0</v>
      </c>
      <c r="G37" s="15">
        <f>0</f>
        <v>0</v>
      </c>
      <c r="H37" s="17">
        <f t="shared" si="4"/>
        <v>35.32</v>
      </c>
      <c r="I37" s="17">
        <f t="shared" si="5"/>
        <v>7.0000000000000284E-2</v>
      </c>
      <c r="J37" s="19">
        <f t="shared" si="6"/>
        <v>1.9858156028368873E-3</v>
      </c>
      <c r="K37" s="35" t="s">
        <v>40</v>
      </c>
    </row>
    <row r="38" spans="1:11" ht="15">
      <c r="A38" s="7">
        <v>31</v>
      </c>
      <c r="B38" s="9">
        <f t="shared" si="0"/>
        <v>36.425000000000004</v>
      </c>
      <c r="C38" s="11">
        <f t="shared" si="1"/>
        <v>229.25840707964602</v>
      </c>
      <c r="D38" s="13">
        <f t="shared" si="2"/>
        <v>229</v>
      </c>
      <c r="E38" s="15">
        <f t="shared" si="3"/>
        <v>229</v>
      </c>
      <c r="F38" s="15">
        <f>0</f>
        <v>0</v>
      </c>
      <c r="G38" s="15">
        <f>0</f>
        <v>0</v>
      </c>
      <c r="H38" s="17">
        <f t="shared" si="4"/>
        <v>36.379375000000003</v>
      </c>
      <c r="I38" s="17">
        <f t="shared" si="5"/>
        <v>-4.5625000000001137E-2</v>
      </c>
      <c r="J38" s="19">
        <f t="shared" si="6"/>
        <v>1.2525737817433392E-3</v>
      </c>
      <c r="K38" s="35" t="s">
        <v>40</v>
      </c>
    </row>
    <row r="39" spans="1:11" ht="15">
      <c r="A39" s="7">
        <v>32</v>
      </c>
      <c r="B39" s="9">
        <f t="shared" si="0"/>
        <v>37.6</v>
      </c>
      <c r="C39" s="11">
        <f t="shared" si="1"/>
        <v>235.91327433628317</v>
      </c>
      <c r="D39" s="13">
        <f t="shared" si="2"/>
        <v>236</v>
      </c>
      <c r="E39" s="15">
        <f t="shared" si="3"/>
        <v>236</v>
      </c>
      <c r="F39" s="15">
        <f>0</f>
        <v>0</v>
      </c>
      <c r="G39" s="15">
        <f>0</f>
        <v>0</v>
      </c>
      <c r="H39" s="17">
        <f t="shared" si="4"/>
        <v>37.615312500000002</v>
      </c>
      <c r="I39" s="17">
        <f t="shared" si="5"/>
        <v>1.5312500000000284E-2</v>
      </c>
      <c r="J39" s="19">
        <f t="shared" si="6"/>
        <v>4.0724734042553944E-4</v>
      </c>
      <c r="K39" s="35" t="s">
        <v>40</v>
      </c>
    </row>
    <row r="40" spans="1:11" ht="15">
      <c r="A40" s="7">
        <v>33</v>
      </c>
      <c r="B40" s="9">
        <f t="shared" si="0"/>
        <v>38.774999999999999</v>
      </c>
      <c r="C40" s="11">
        <f t="shared" si="1"/>
        <v>241.45554202192446</v>
      </c>
      <c r="D40" s="13">
        <f t="shared" si="2"/>
        <v>241</v>
      </c>
      <c r="E40" s="15">
        <f t="shared" si="3"/>
        <v>241</v>
      </c>
      <c r="F40" s="15">
        <f>0</f>
        <v>0</v>
      </c>
      <c r="G40" s="15">
        <f>0</f>
        <v>0</v>
      </c>
      <c r="H40" s="17">
        <f t="shared" si="4"/>
        <v>38.658125000000005</v>
      </c>
      <c r="I40" s="17">
        <f t="shared" si="5"/>
        <v>-0.11687499999999318</v>
      </c>
      <c r="J40" s="19">
        <f t="shared" si="6"/>
        <v>3.0141843971629449E-3</v>
      </c>
      <c r="K40" s="35" t="s">
        <v>40</v>
      </c>
    </row>
    <row r="41" spans="1:11" ht="15">
      <c r="A41" s="7">
        <v>34</v>
      </c>
      <c r="B41" s="9">
        <f t="shared" si="0"/>
        <v>39.950000000000003</v>
      </c>
      <c r="C41" s="11">
        <f t="shared" si="1"/>
        <v>246.0353227771011</v>
      </c>
      <c r="D41" s="13">
        <f t="shared" si="2"/>
        <v>246</v>
      </c>
      <c r="E41" s="15">
        <f t="shared" si="3"/>
        <v>246</v>
      </c>
      <c r="F41" s="15">
        <f>0</f>
        <v>0</v>
      </c>
      <c r="G41" s="15">
        <f>0</f>
        <v>0</v>
      </c>
      <c r="H41" s="17">
        <f t="shared" si="4"/>
        <v>39.940937500000004</v>
      </c>
      <c r="I41" s="17">
        <f t="shared" si="5"/>
        <v>-9.0624999999988631E-3</v>
      </c>
      <c r="J41" s="19">
        <f t="shared" si="6"/>
        <v>2.2684605757193648E-4</v>
      </c>
      <c r="K41" s="35" t="s">
        <v>40</v>
      </c>
    </row>
    <row r="42" spans="1:11" ht="15">
      <c r="A42" s="7">
        <v>35</v>
      </c>
      <c r="B42" s="9">
        <f t="shared" si="0"/>
        <v>41.125</v>
      </c>
      <c r="C42" s="11">
        <f t="shared" si="1"/>
        <v>250.61510353227771</v>
      </c>
      <c r="D42" s="13">
        <f t="shared" si="2"/>
        <v>251</v>
      </c>
      <c r="E42" s="15">
        <f t="shared" si="3"/>
        <v>251</v>
      </c>
      <c r="F42" s="15">
        <f>0</f>
        <v>0</v>
      </c>
      <c r="G42" s="15">
        <f>0</f>
        <v>0</v>
      </c>
      <c r="H42" s="17">
        <f t="shared" si="4"/>
        <v>41.223750000000003</v>
      </c>
      <c r="I42" s="17">
        <f t="shared" si="5"/>
        <v>9.8750000000002558E-2</v>
      </c>
      <c r="J42" s="19">
        <f t="shared" si="6"/>
        <v>2.4012158054711867E-3</v>
      </c>
      <c r="K42" s="35" t="s">
        <v>40</v>
      </c>
    </row>
    <row r="43" spans="1:11" ht="15">
      <c r="A43" s="8">
        <v>36</v>
      </c>
      <c r="B43" s="10">
        <f t="shared" si="0"/>
        <v>42.25</v>
      </c>
      <c r="C43" s="12">
        <f t="shared" si="1"/>
        <v>255</v>
      </c>
      <c r="D43" s="14">
        <f t="shared" si="2"/>
        <v>255</v>
      </c>
      <c r="E43" s="16">
        <f t="shared" si="3"/>
        <v>255</v>
      </c>
      <c r="F43" s="16">
        <f>0</f>
        <v>0</v>
      </c>
      <c r="G43" s="16">
        <f>0</f>
        <v>0</v>
      </c>
      <c r="H43" s="18">
        <f t="shared" si="4"/>
        <v>42.25</v>
      </c>
      <c r="I43" s="18">
        <f t="shared" si="5"/>
        <v>0</v>
      </c>
      <c r="J43" s="20">
        <f t="shared" si="6"/>
        <v>0</v>
      </c>
      <c r="K43" s="36" t="s">
        <v>40</v>
      </c>
    </row>
  </sheetData>
  <mergeCells count="7">
    <mergeCell ref="A4:M4"/>
    <mergeCell ref="A1:M1"/>
    <mergeCell ref="A2:M2"/>
    <mergeCell ref="A3:B3"/>
    <mergeCell ref="D3:E3"/>
    <mergeCell ref="G3:H3"/>
    <mergeCell ref="J3:L3"/>
  </mergeCells>
  <phoneticPr fontId="12" type="noConversion"/>
  <conditionalFormatting sqref="J7:J43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4"/>
  <sheetViews>
    <sheetView showGridLines="0" workbookViewId="0"/>
  </sheetViews>
  <sheetFormatPr defaultRowHeight="14.25"/>
  <cols>
    <col min="1" max="1" width="12" customWidth="1"/>
    <col min="2" max="2" width="16" customWidth="1"/>
    <col min="3" max="3" width="19" customWidth="1"/>
    <col min="4" max="4" width="17" customWidth="1"/>
    <col min="5" max="7" width="8" customWidth="1"/>
    <col min="8" max="8" width="16" customWidth="1"/>
    <col min="9" max="9" width="15" customWidth="1"/>
    <col min="10" max="11" width="12" customWidth="1"/>
    <col min="12" max="12" width="14" customWidth="1"/>
    <col min="13" max="13" width="19" customWidth="1"/>
  </cols>
  <sheetData>
    <row r="1" spans="1:13" ht="30" customHeight="1">
      <c r="A1" s="75" t="s">
        <v>41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33.950000000000003" customHeight="1">
      <c r="A2" s="76" t="s">
        <v>25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24" customHeight="1">
      <c r="A3" s="73" t="s">
        <v>26</v>
      </c>
      <c r="B3" s="73"/>
      <c r="C3" s="3">
        <v>148.66666666666669</v>
      </c>
      <c r="D3" s="73" t="s">
        <v>10</v>
      </c>
      <c r="E3" s="73"/>
      <c r="F3" s="4">
        <v>127</v>
      </c>
      <c r="G3" s="73" t="s">
        <v>2</v>
      </c>
      <c r="H3" s="73"/>
      <c r="I3" s="3">
        <v>1.175</v>
      </c>
      <c r="J3" s="73" t="s">
        <v>27</v>
      </c>
      <c r="K3" s="73"/>
      <c r="L3" s="73"/>
      <c r="M3" s="4">
        <v>255</v>
      </c>
    </row>
    <row r="4" spans="1:13" ht="33.950000000000003" customHeight="1">
      <c r="A4" s="74" t="s">
        <v>28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6" spans="1:13" ht="42" customHeight="1">
      <c r="A6" s="5" t="s">
        <v>29</v>
      </c>
      <c r="B6" s="5" t="s">
        <v>30</v>
      </c>
      <c r="C6" s="5" t="s">
        <v>31</v>
      </c>
      <c r="D6" s="5" t="s">
        <v>32</v>
      </c>
      <c r="E6" s="5" t="s">
        <v>18</v>
      </c>
      <c r="F6" s="5" t="s">
        <v>19</v>
      </c>
      <c r="G6" s="5" t="s">
        <v>20</v>
      </c>
      <c r="H6" s="5" t="s">
        <v>33</v>
      </c>
      <c r="I6" s="5" t="s">
        <v>34</v>
      </c>
      <c r="J6" s="5" t="s">
        <v>35</v>
      </c>
      <c r="K6" s="5" t="s">
        <v>36</v>
      </c>
      <c r="L6" s="6" t="s">
        <v>37</v>
      </c>
      <c r="M6" s="6" t="s">
        <v>38</v>
      </c>
    </row>
    <row r="7" spans="1:13">
      <c r="A7" s="7">
        <v>0</v>
      </c>
      <c r="B7" s="9">
        <f t="shared" ref="B7:B38" si="0">MIN(A7*$I$3,$C$3)</f>
        <v>0</v>
      </c>
      <c r="C7" s="11">
        <f t="shared" ref="C7:C38" si="1">IF(B7&lt;=0,0,IF(B7&gt;=$C$3,255,INDEX($L$7:$L$23,MATCH(B7,$M$7:$M$23,1))+(B7-INDEX($M$7:$M$23,MATCH(B7,$M$7:$M$23,1)))*(INDEX($L$7:$L$23,MATCH(B7,$M$7:$M$23,1)+1)-INDEX($L$7:$L$23,MATCH(B7,$M$7:$M$23,1)))/(INDEX($M$7:$M$23,MATCH(B7,$M$7:$M$23,1)+1)-INDEX($M$7:$M$23,MATCH(B7,$M$7:$M$23,1)))))</f>
        <v>0</v>
      </c>
      <c r="D7" s="13">
        <f t="shared" ref="D7:D38" si="2">ROUND(C7,0)</f>
        <v>0</v>
      </c>
      <c r="E7" s="37">
        <f>0</f>
        <v>0</v>
      </c>
      <c r="F7" s="37">
        <f t="shared" ref="F7:F38" si="3">D7</f>
        <v>0</v>
      </c>
      <c r="G7" s="37">
        <f>0</f>
        <v>0</v>
      </c>
      <c r="H7" s="17">
        <f t="shared" ref="H7:H38" si="4">IF(D7&lt;=0,0,IF(D7&gt;=255,$C$3,INDEX($M$7:$M$23,MATCH(D7,$L$7:$L$23,1))+(D7-INDEX($L$7:$L$23,MATCH(D7,$L$7:$L$23,1)))*(INDEX($M$7:$M$23,MATCH(D7,$L$7:$L$23,1)+1)-INDEX($M$7:$M$23,MATCH(D7,$L$7:$L$23,1)))/(INDEX($L$7:$L$23,MATCH(D7,$L$7:$L$23,1)+1)-INDEX($L$7:$L$23,MATCH(D7,$L$7:$L$23,1)))))</f>
        <v>0</v>
      </c>
      <c r="I7" s="17">
        <f t="shared" ref="I7:I38" si="5">H7-B7</f>
        <v>0</v>
      </c>
      <c r="J7" s="19">
        <f t="shared" ref="J7:J38" si="6">IF(B7=0,0,ABS(I7/B7))</f>
        <v>0</v>
      </c>
      <c r="K7" s="21" t="s">
        <v>39</v>
      </c>
      <c r="L7" s="23">
        <v>0</v>
      </c>
      <c r="M7" s="25">
        <v>0</v>
      </c>
    </row>
    <row r="8" spans="1:13">
      <c r="A8" s="7">
        <v>1</v>
      </c>
      <c r="B8" s="9">
        <f t="shared" si="0"/>
        <v>1.175</v>
      </c>
      <c r="C8" s="11">
        <f t="shared" si="1"/>
        <v>19.703361501567592</v>
      </c>
      <c r="D8" s="13">
        <f t="shared" si="2"/>
        <v>20</v>
      </c>
      <c r="E8" s="37">
        <f>0</f>
        <v>0</v>
      </c>
      <c r="F8" s="37">
        <f t="shared" si="3"/>
        <v>20</v>
      </c>
      <c r="G8" s="37">
        <f>0</f>
        <v>0</v>
      </c>
      <c r="H8" s="17">
        <f t="shared" si="4"/>
        <v>1.2047645833333334</v>
      </c>
      <c r="I8" s="17">
        <f t="shared" si="5"/>
        <v>2.9764583333333317E-2</v>
      </c>
      <c r="J8" s="19">
        <f t="shared" si="6"/>
        <v>2.5331560283687927E-2</v>
      </c>
      <c r="K8" s="21" t="s">
        <v>39</v>
      </c>
      <c r="L8" s="23">
        <v>15</v>
      </c>
      <c r="M8" s="25">
        <v>0.70306666666666673</v>
      </c>
    </row>
    <row r="9" spans="1:13">
      <c r="A9" s="7">
        <v>2</v>
      </c>
      <c r="B9" s="9">
        <f t="shared" si="0"/>
        <v>2.35</v>
      </c>
      <c r="C9" s="11">
        <f t="shared" si="1"/>
        <v>31.219806896551724</v>
      </c>
      <c r="D9" s="13">
        <f t="shared" si="2"/>
        <v>31</v>
      </c>
      <c r="E9" s="37">
        <f>0</f>
        <v>0</v>
      </c>
      <c r="F9" s="37">
        <f t="shared" si="3"/>
        <v>31</v>
      </c>
      <c r="G9" s="37">
        <f>0</f>
        <v>0</v>
      </c>
      <c r="H9" s="17">
        <f t="shared" si="4"/>
        <v>2.3085</v>
      </c>
      <c r="I9" s="17">
        <f t="shared" si="5"/>
        <v>-4.1500000000000092E-2</v>
      </c>
      <c r="J9" s="19">
        <f t="shared" si="6"/>
        <v>1.7659574468085144E-2</v>
      </c>
      <c r="K9" s="21" t="s">
        <v>39</v>
      </c>
      <c r="L9" s="23">
        <v>31</v>
      </c>
      <c r="M9" s="25">
        <v>2.3085</v>
      </c>
    </row>
    <row r="10" spans="1:13">
      <c r="A10" s="7">
        <v>3</v>
      </c>
      <c r="B10" s="9">
        <f t="shared" si="0"/>
        <v>3.5250000000000004</v>
      </c>
      <c r="C10" s="11">
        <f t="shared" si="1"/>
        <v>37.443255172413799</v>
      </c>
      <c r="D10" s="13">
        <f t="shared" si="2"/>
        <v>37</v>
      </c>
      <c r="E10" s="37">
        <f>0</f>
        <v>0</v>
      </c>
      <c r="F10" s="37">
        <f t="shared" si="3"/>
        <v>37</v>
      </c>
      <c r="G10" s="37">
        <f>0</f>
        <v>0</v>
      </c>
      <c r="H10" s="17">
        <f t="shared" si="4"/>
        <v>3.4413124999999996</v>
      </c>
      <c r="I10" s="17">
        <f t="shared" si="5"/>
        <v>-8.3687500000000803E-2</v>
      </c>
      <c r="J10" s="19">
        <f t="shared" si="6"/>
        <v>2.3741134751773276E-2</v>
      </c>
      <c r="K10" s="21" t="s">
        <v>39</v>
      </c>
      <c r="L10" s="23">
        <v>47</v>
      </c>
      <c r="M10" s="25">
        <v>5.3293333333333326</v>
      </c>
    </row>
    <row r="11" spans="1:13">
      <c r="A11" s="7">
        <v>4</v>
      </c>
      <c r="B11" s="9">
        <f t="shared" si="0"/>
        <v>4.7</v>
      </c>
      <c r="C11" s="11">
        <f t="shared" si="1"/>
        <v>43.666703448275868</v>
      </c>
      <c r="D11" s="13">
        <f t="shared" si="2"/>
        <v>44</v>
      </c>
      <c r="E11" s="37">
        <f>0</f>
        <v>0</v>
      </c>
      <c r="F11" s="37">
        <f t="shared" si="3"/>
        <v>44</v>
      </c>
      <c r="G11" s="37">
        <f>0</f>
        <v>0</v>
      </c>
      <c r="H11" s="17">
        <f t="shared" si="4"/>
        <v>4.7629270833333326</v>
      </c>
      <c r="I11" s="17">
        <f t="shared" si="5"/>
        <v>6.2927083333332412E-2</v>
      </c>
      <c r="J11" s="19">
        <f t="shared" si="6"/>
        <v>1.3388741134751577E-2</v>
      </c>
      <c r="K11" s="21" t="s">
        <v>39</v>
      </c>
      <c r="L11" s="23">
        <v>63</v>
      </c>
      <c r="M11" s="25">
        <v>9.0171666666666681</v>
      </c>
    </row>
    <row r="12" spans="1:13">
      <c r="A12" s="7">
        <v>5</v>
      </c>
      <c r="B12" s="9">
        <f t="shared" si="0"/>
        <v>5.875</v>
      </c>
      <c r="C12" s="11">
        <f t="shared" si="1"/>
        <v>49.367424413612333</v>
      </c>
      <c r="D12" s="13">
        <f t="shared" si="2"/>
        <v>49</v>
      </c>
      <c r="E12" s="37">
        <f>0</f>
        <v>0</v>
      </c>
      <c r="F12" s="37">
        <f t="shared" si="3"/>
        <v>49</v>
      </c>
      <c r="G12" s="37">
        <f>0</f>
        <v>0</v>
      </c>
      <c r="H12" s="17">
        <f t="shared" si="4"/>
        <v>5.7903124999999998</v>
      </c>
      <c r="I12" s="17">
        <f t="shared" si="5"/>
        <v>-8.4687500000000249E-2</v>
      </c>
      <c r="J12" s="19">
        <f t="shared" si="6"/>
        <v>1.4414893617021319E-2</v>
      </c>
      <c r="K12" s="21" t="s">
        <v>39</v>
      </c>
      <c r="L12" s="23">
        <v>79</v>
      </c>
      <c r="M12" s="25">
        <v>15.061666666666667</v>
      </c>
    </row>
    <row r="13" spans="1:13">
      <c r="A13" s="7">
        <v>6</v>
      </c>
      <c r="B13" s="9">
        <f t="shared" si="0"/>
        <v>7.0500000000000007</v>
      </c>
      <c r="C13" s="11">
        <f t="shared" si="1"/>
        <v>54.465268676277852</v>
      </c>
      <c r="D13" s="13">
        <f t="shared" si="2"/>
        <v>54</v>
      </c>
      <c r="E13" s="37">
        <f>0</f>
        <v>0</v>
      </c>
      <c r="F13" s="37">
        <f t="shared" si="3"/>
        <v>54</v>
      </c>
      <c r="G13" s="37">
        <f>0</f>
        <v>0</v>
      </c>
      <c r="H13" s="17">
        <f t="shared" si="4"/>
        <v>6.9427604166666672</v>
      </c>
      <c r="I13" s="17">
        <f t="shared" si="5"/>
        <v>-0.1072395833333335</v>
      </c>
      <c r="J13" s="19">
        <f t="shared" si="6"/>
        <v>1.5211288416075672E-2</v>
      </c>
      <c r="K13" s="21" t="s">
        <v>39</v>
      </c>
      <c r="L13" s="23">
        <v>95</v>
      </c>
      <c r="M13" s="25">
        <v>21.061666666666667</v>
      </c>
    </row>
    <row r="14" spans="1:13">
      <c r="A14" s="7">
        <v>7</v>
      </c>
      <c r="B14" s="9">
        <f t="shared" si="0"/>
        <v>8.2249999999999996</v>
      </c>
      <c r="C14" s="11">
        <f t="shared" si="1"/>
        <v>59.563112938943362</v>
      </c>
      <c r="D14" s="13">
        <f t="shared" si="2"/>
        <v>60</v>
      </c>
      <c r="E14" s="37">
        <f>0</f>
        <v>0</v>
      </c>
      <c r="F14" s="37">
        <f t="shared" si="3"/>
        <v>60</v>
      </c>
      <c r="G14" s="37">
        <f>0</f>
        <v>0</v>
      </c>
      <c r="H14" s="17">
        <f t="shared" si="4"/>
        <v>8.3256979166666678</v>
      </c>
      <c r="I14" s="17">
        <f t="shared" si="5"/>
        <v>0.10069791666666816</v>
      </c>
      <c r="J14" s="19">
        <f t="shared" si="6"/>
        <v>1.2242907801418621E-2</v>
      </c>
      <c r="K14" s="21" t="s">
        <v>39</v>
      </c>
      <c r="L14" s="23">
        <v>111</v>
      </c>
      <c r="M14" s="25">
        <v>29.376666666666669</v>
      </c>
    </row>
    <row r="15" spans="1:13">
      <c r="A15" s="7">
        <v>8</v>
      </c>
      <c r="B15" s="9">
        <f t="shared" si="0"/>
        <v>9.4</v>
      </c>
      <c r="C15" s="11">
        <f t="shared" si="1"/>
        <v>64.013373038850744</v>
      </c>
      <c r="D15" s="13">
        <f t="shared" si="2"/>
        <v>64</v>
      </c>
      <c r="E15" s="37">
        <f>0</f>
        <v>0</v>
      </c>
      <c r="F15" s="37">
        <f t="shared" si="3"/>
        <v>64</v>
      </c>
      <c r="G15" s="37">
        <f>0</f>
        <v>0</v>
      </c>
      <c r="H15" s="17">
        <f t="shared" si="4"/>
        <v>9.3949479166666681</v>
      </c>
      <c r="I15" s="17">
        <f t="shared" si="5"/>
        <v>-5.0520833333322912E-3</v>
      </c>
      <c r="J15" s="19">
        <f t="shared" si="6"/>
        <v>5.3745567375875435E-4</v>
      </c>
      <c r="K15" s="21" t="s">
        <v>39</v>
      </c>
      <c r="L15" s="23">
        <v>127</v>
      </c>
      <c r="M15" s="25">
        <v>38.628333333333337</v>
      </c>
    </row>
    <row r="16" spans="1:13">
      <c r="A16" s="7">
        <v>9</v>
      </c>
      <c r="B16" s="9">
        <f t="shared" si="0"/>
        <v>10.575000000000001</v>
      </c>
      <c r="C16" s="11">
        <f t="shared" si="1"/>
        <v>67.123638569498439</v>
      </c>
      <c r="D16" s="13">
        <f t="shared" si="2"/>
        <v>67</v>
      </c>
      <c r="E16" s="37">
        <f>0</f>
        <v>0</v>
      </c>
      <c r="F16" s="37">
        <f t="shared" si="3"/>
        <v>67</v>
      </c>
      <c r="G16" s="37">
        <f>0</f>
        <v>0</v>
      </c>
      <c r="H16" s="17">
        <f t="shared" si="4"/>
        <v>10.528291666666668</v>
      </c>
      <c r="I16" s="17">
        <f t="shared" si="5"/>
        <v>-4.670833333333313E-2</v>
      </c>
      <c r="J16" s="19">
        <f t="shared" si="6"/>
        <v>4.4168636721828016E-3</v>
      </c>
      <c r="K16" s="21" t="s">
        <v>39</v>
      </c>
      <c r="L16" s="23">
        <v>143</v>
      </c>
      <c r="M16" s="25">
        <v>49.806666666666665</v>
      </c>
    </row>
    <row r="17" spans="1:13">
      <c r="A17" s="7">
        <v>10</v>
      </c>
      <c r="B17" s="9">
        <f t="shared" si="0"/>
        <v>11.75</v>
      </c>
      <c r="C17" s="11">
        <f t="shared" si="1"/>
        <v>70.233904100146134</v>
      </c>
      <c r="D17" s="13">
        <f t="shared" si="2"/>
        <v>70</v>
      </c>
      <c r="E17" s="37">
        <f>0</f>
        <v>0</v>
      </c>
      <c r="F17" s="37">
        <f t="shared" si="3"/>
        <v>70</v>
      </c>
      <c r="G17" s="37">
        <f>0</f>
        <v>0</v>
      </c>
      <c r="H17" s="17">
        <f t="shared" si="4"/>
        <v>11.661635416666668</v>
      </c>
      <c r="I17" s="17">
        <f t="shared" si="5"/>
        <v>-8.8364583333332192E-2</v>
      </c>
      <c r="J17" s="19">
        <f t="shared" si="6"/>
        <v>7.5203900709218891E-3</v>
      </c>
      <c r="K17" s="21" t="s">
        <v>39</v>
      </c>
      <c r="L17" s="23">
        <v>159</v>
      </c>
      <c r="M17" s="25">
        <v>62.856666666666662</v>
      </c>
    </row>
    <row r="18" spans="1:13">
      <c r="A18" s="7">
        <v>11</v>
      </c>
      <c r="B18" s="9">
        <f t="shared" si="0"/>
        <v>12.925000000000001</v>
      </c>
      <c r="C18" s="11">
        <f t="shared" si="1"/>
        <v>73.344169630793829</v>
      </c>
      <c r="D18" s="13">
        <f t="shared" si="2"/>
        <v>73</v>
      </c>
      <c r="E18" s="37">
        <f>0</f>
        <v>0</v>
      </c>
      <c r="F18" s="37">
        <f t="shared" si="3"/>
        <v>73</v>
      </c>
      <c r="G18" s="37">
        <f>0</f>
        <v>0</v>
      </c>
      <c r="H18" s="17">
        <f t="shared" si="4"/>
        <v>12.794979166666668</v>
      </c>
      <c r="I18" s="17">
        <f t="shared" si="5"/>
        <v>-0.13002083333333303</v>
      </c>
      <c r="J18" s="19">
        <f t="shared" si="6"/>
        <v>1.0059638942617641E-2</v>
      </c>
      <c r="K18" s="21" t="s">
        <v>39</v>
      </c>
      <c r="L18" s="23">
        <v>175</v>
      </c>
      <c r="M18" s="25">
        <v>75.101666666666659</v>
      </c>
    </row>
    <row r="19" spans="1:13">
      <c r="A19" s="7">
        <v>12</v>
      </c>
      <c r="B19" s="9">
        <f t="shared" si="0"/>
        <v>14.100000000000001</v>
      </c>
      <c r="C19" s="11">
        <f t="shared" si="1"/>
        <v>76.454435161441538</v>
      </c>
      <c r="D19" s="13">
        <f t="shared" si="2"/>
        <v>76</v>
      </c>
      <c r="E19" s="37">
        <f>0</f>
        <v>0</v>
      </c>
      <c r="F19" s="37">
        <f t="shared" si="3"/>
        <v>76</v>
      </c>
      <c r="G19" s="37">
        <f>0</f>
        <v>0</v>
      </c>
      <c r="H19" s="17">
        <f t="shared" si="4"/>
        <v>13.928322916666668</v>
      </c>
      <c r="I19" s="17">
        <f t="shared" si="5"/>
        <v>-0.17167708333333387</v>
      </c>
      <c r="J19" s="19">
        <f t="shared" si="6"/>
        <v>1.217567966903077E-2</v>
      </c>
      <c r="K19" s="21" t="s">
        <v>39</v>
      </c>
      <c r="L19" s="23">
        <v>191</v>
      </c>
      <c r="M19" s="25">
        <v>86.738333333333344</v>
      </c>
    </row>
    <row r="20" spans="1:13">
      <c r="A20" s="7">
        <v>13</v>
      </c>
      <c r="B20" s="9">
        <f t="shared" si="0"/>
        <v>15.275</v>
      </c>
      <c r="C20" s="11">
        <f t="shared" si="1"/>
        <v>79.568888888888893</v>
      </c>
      <c r="D20" s="13">
        <f t="shared" si="2"/>
        <v>80</v>
      </c>
      <c r="E20" s="37">
        <f>0</f>
        <v>0</v>
      </c>
      <c r="F20" s="37">
        <f t="shared" si="3"/>
        <v>80</v>
      </c>
      <c r="G20" s="37">
        <f>0</f>
        <v>0</v>
      </c>
      <c r="H20" s="17">
        <f t="shared" si="4"/>
        <v>15.436666666666667</v>
      </c>
      <c r="I20" s="17">
        <f t="shared" si="5"/>
        <v>0.16166666666666707</v>
      </c>
      <c r="J20" s="19">
        <f t="shared" si="6"/>
        <v>1.0583742498636141E-2</v>
      </c>
      <c r="K20" s="21" t="s">
        <v>39</v>
      </c>
      <c r="L20" s="23">
        <v>207</v>
      </c>
      <c r="M20" s="25">
        <v>101.36166666666668</v>
      </c>
    </row>
    <row r="21" spans="1:13">
      <c r="A21" s="7">
        <v>14</v>
      </c>
      <c r="B21" s="9">
        <f t="shared" si="0"/>
        <v>16.45</v>
      </c>
      <c r="C21" s="11">
        <f t="shared" si="1"/>
        <v>82.702222222222218</v>
      </c>
      <c r="D21" s="13">
        <f t="shared" si="2"/>
        <v>83</v>
      </c>
      <c r="E21" s="37">
        <f>0</f>
        <v>0</v>
      </c>
      <c r="F21" s="37">
        <f t="shared" si="3"/>
        <v>83</v>
      </c>
      <c r="G21" s="37">
        <f>0</f>
        <v>0</v>
      </c>
      <c r="H21" s="17">
        <f t="shared" si="4"/>
        <v>16.561666666666667</v>
      </c>
      <c r="I21" s="17">
        <f t="shared" si="5"/>
        <v>0.11166666666666814</v>
      </c>
      <c r="J21" s="19">
        <f t="shared" si="6"/>
        <v>6.7882472137792181E-3</v>
      </c>
      <c r="K21" s="21" t="s">
        <v>39</v>
      </c>
      <c r="L21" s="23">
        <v>223</v>
      </c>
      <c r="M21" s="25">
        <v>117.35</v>
      </c>
    </row>
    <row r="22" spans="1:13">
      <c r="A22" s="7">
        <v>15</v>
      </c>
      <c r="B22" s="9">
        <f t="shared" si="0"/>
        <v>17.625</v>
      </c>
      <c r="C22" s="11">
        <f t="shared" si="1"/>
        <v>85.835555555555558</v>
      </c>
      <c r="D22" s="13">
        <f t="shared" si="2"/>
        <v>86</v>
      </c>
      <c r="E22" s="37">
        <f>0</f>
        <v>0</v>
      </c>
      <c r="F22" s="37">
        <f t="shared" si="3"/>
        <v>86</v>
      </c>
      <c r="G22" s="37">
        <f>0</f>
        <v>0</v>
      </c>
      <c r="H22" s="17">
        <f t="shared" si="4"/>
        <v>17.686666666666667</v>
      </c>
      <c r="I22" s="17">
        <f t="shared" si="5"/>
        <v>6.1666666666667425E-2</v>
      </c>
      <c r="J22" s="19">
        <f t="shared" si="6"/>
        <v>3.4988179669031162E-3</v>
      </c>
      <c r="K22" s="21" t="s">
        <v>39</v>
      </c>
      <c r="L22" s="23">
        <v>239</v>
      </c>
      <c r="M22" s="25">
        <v>131.85</v>
      </c>
    </row>
    <row r="23" spans="1:13">
      <c r="A23" s="7">
        <v>16</v>
      </c>
      <c r="B23" s="9">
        <f t="shared" si="0"/>
        <v>18.8</v>
      </c>
      <c r="C23" s="11">
        <f t="shared" si="1"/>
        <v>88.968888888888884</v>
      </c>
      <c r="D23" s="13">
        <f t="shared" si="2"/>
        <v>89</v>
      </c>
      <c r="E23" s="37">
        <f>0</f>
        <v>0</v>
      </c>
      <c r="F23" s="37">
        <f t="shared" si="3"/>
        <v>89</v>
      </c>
      <c r="G23" s="37">
        <f>0</f>
        <v>0</v>
      </c>
      <c r="H23" s="17">
        <f t="shared" si="4"/>
        <v>18.811666666666667</v>
      </c>
      <c r="I23" s="17">
        <f t="shared" si="5"/>
        <v>1.1666666666666714E-2</v>
      </c>
      <c r="J23" s="19">
        <f t="shared" si="6"/>
        <v>6.2056737588652734E-4</v>
      </c>
      <c r="K23" s="21" t="s">
        <v>39</v>
      </c>
      <c r="L23" s="24">
        <v>255</v>
      </c>
      <c r="M23" s="26">
        <v>148.66666666666669</v>
      </c>
    </row>
    <row r="24" spans="1:13">
      <c r="A24" s="7">
        <v>17</v>
      </c>
      <c r="B24" s="9">
        <f t="shared" si="0"/>
        <v>19.975000000000001</v>
      </c>
      <c r="C24" s="11">
        <f t="shared" si="1"/>
        <v>92.102222222222224</v>
      </c>
      <c r="D24" s="13">
        <f t="shared" si="2"/>
        <v>92</v>
      </c>
      <c r="E24" s="37">
        <f>0</f>
        <v>0</v>
      </c>
      <c r="F24" s="37">
        <f t="shared" si="3"/>
        <v>92</v>
      </c>
      <c r="G24" s="37">
        <f>0</f>
        <v>0</v>
      </c>
      <c r="H24" s="17">
        <f t="shared" si="4"/>
        <v>19.936666666666667</v>
      </c>
      <c r="I24" s="17">
        <f t="shared" si="5"/>
        <v>-3.8333333333333997E-2</v>
      </c>
      <c r="J24" s="19">
        <f t="shared" si="6"/>
        <v>1.9190654985398745E-3</v>
      </c>
      <c r="K24" s="21" t="s">
        <v>39</v>
      </c>
    </row>
    <row r="25" spans="1:13">
      <c r="A25" s="7">
        <v>18</v>
      </c>
      <c r="B25" s="9">
        <f t="shared" si="0"/>
        <v>21.150000000000002</v>
      </c>
      <c r="C25" s="11">
        <f t="shared" si="1"/>
        <v>95.169973942673892</v>
      </c>
      <c r="D25" s="13">
        <f t="shared" si="2"/>
        <v>95</v>
      </c>
      <c r="E25" s="37">
        <f>0</f>
        <v>0</v>
      </c>
      <c r="F25" s="37">
        <f t="shared" si="3"/>
        <v>95</v>
      </c>
      <c r="G25" s="37">
        <f>0</f>
        <v>0</v>
      </c>
      <c r="H25" s="17">
        <f t="shared" si="4"/>
        <v>21.061666666666667</v>
      </c>
      <c r="I25" s="17">
        <f t="shared" si="5"/>
        <v>-8.8333333333334707E-2</v>
      </c>
      <c r="J25" s="19">
        <f t="shared" si="6"/>
        <v>4.1765169424744534E-3</v>
      </c>
      <c r="K25" s="21" t="s">
        <v>39</v>
      </c>
    </row>
    <row r="26" spans="1:13">
      <c r="A26" s="7">
        <v>19</v>
      </c>
      <c r="B26" s="9">
        <f t="shared" si="0"/>
        <v>22.324999999999999</v>
      </c>
      <c r="C26" s="11">
        <f t="shared" si="1"/>
        <v>97.430948085788728</v>
      </c>
      <c r="D26" s="13">
        <f t="shared" si="2"/>
        <v>97</v>
      </c>
      <c r="E26" s="37">
        <f>0</f>
        <v>0</v>
      </c>
      <c r="F26" s="37">
        <f t="shared" si="3"/>
        <v>97</v>
      </c>
      <c r="G26" s="37">
        <f>0</f>
        <v>0</v>
      </c>
      <c r="H26" s="17">
        <f t="shared" si="4"/>
        <v>22.101041666666667</v>
      </c>
      <c r="I26" s="17">
        <f t="shared" si="5"/>
        <v>-0.22395833333333215</v>
      </c>
      <c r="J26" s="19">
        <f t="shared" si="6"/>
        <v>1.0031728256812191E-2</v>
      </c>
      <c r="K26" s="21" t="s">
        <v>39</v>
      </c>
    </row>
    <row r="27" spans="1:13">
      <c r="A27" s="7">
        <v>20</v>
      </c>
      <c r="B27" s="9">
        <f t="shared" si="0"/>
        <v>23.5</v>
      </c>
      <c r="C27" s="11">
        <f t="shared" si="1"/>
        <v>99.691922228903593</v>
      </c>
      <c r="D27" s="13">
        <f t="shared" si="2"/>
        <v>100</v>
      </c>
      <c r="E27" s="37">
        <f>0</f>
        <v>0</v>
      </c>
      <c r="F27" s="37">
        <f t="shared" si="3"/>
        <v>100</v>
      </c>
      <c r="G27" s="37">
        <f>0</f>
        <v>0</v>
      </c>
      <c r="H27" s="17">
        <f t="shared" si="4"/>
        <v>23.660104166666667</v>
      </c>
      <c r="I27" s="17">
        <f t="shared" si="5"/>
        <v>0.16010416666666671</v>
      </c>
      <c r="J27" s="19">
        <f t="shared" si="6"/>
        <v>6.8129432624113497E-3</v>
      </c>
      <c r="K27" s="21" t="s">
        <v>39</v>
      </c>
    </row>
    <row r="28" spans="1:13" ht="15">
      <c r="A28" s="39">
        <v>21</v>
      </c>
      <c r="B28" s="40">
        <f t="shared" si="0"/>
        <v>24.675000000000001</v>
      </c>
      <c r="C28" s="41">
        <f t="shared" si="1"/>
        <v>101.95289637201844</v>
      </c>
      <c r="D28" s="42">
        <f t="shared" si="2"/>
        <v>102</v>
      </c>
      <c r="E28" s="43">
        <f>0</f>
        <v>0</v>
      </c>
      <c r="F28" s="43">
        <f t="shared" si="3"/>
        <v>102</v>
      </c>
      <c r="G28" s="43">
        <f>0</f>
        <v>0</v>
      </c>
      <c r="H28" s="44">
        <f t="shared" si="4"/>
        <v>24.69947916666667</v>
      </c>
      <c r="I28" s="44">
        <f t="shared" si="5"/>
        <v>2.4479166666669272E-2</v>
      </c>
      <c r="J28" s="45">
        <f t="shared" si="6"/>
        <v>9.9206349206359761E-4</v>
      </c>
      <c r="K28" s="46" t="s">
        <v>40</v>
      </c>
    </row>
    <row r="29" spans="1:13" ht="15">
      <c r="A29" s="7">
        <v>22</v>
      </c>
      <c r="B29" s="9">
        <f t="shared" si="0"/>
        <v>25.85</v>
      </c>
      <c r="C29" s="11">
        <f t="shared" si="1"/>
        <v>104.21387051513329</v>
      </c>
      <c r="D29" s="13">
        <f t="shared" si="2"/>
        <v>104</v>
      </c>
      <c r="E29" s="37">
        <f>0</f>
        <v>0</v>
      </c>
      <c r="F29" s="37">
        <f t="shared" si="3"/>
        <v>104</v>
      </c>
      <c r="G29" s="37">
        <f>0</f>
        <v>0</v>
      </c>
      <c r="H29" s="17">
        <f t="shared" si="4"/>
        <v>25.73885416666667</v>
      </c>
      <c r="I29" s="17">
        <f t="shared" si="5"/>
        <v>-0.11114583333333172</v>
      </c>
      <c r="J29" s="19">
        <f t="shared" si="6"/>
        <v>4.2996453900708597E-3</v>
      </c>
      <c r="K29" s="35" t="s">
        <v>40</v>
      </c>
    </row>
    <row r="30" spans="1:13" ht="15">
      <c r="A30" s="7">
        <v>23</v>
      </c>
      <c r="B30" s="9">
        <f t="shared" si="0"/>
        <v>27.025000000000002</v>
      </c>
      <c r="C30" s="11">
        <f t="shared" si="1"/>
        <v>106.47484465824814</v>
      </c>
      <c r="D30" s="13">
        <f t="shared" si="2"/>
        <v>106</v>
      </c>
      <c r="E30" s="37">
        <f>0</f>
        <v>0</v>
      </c>
      <c r="F30" s="37">
        <f t="shared" si="3"/>
        <v>106</v>
      </c>
      <c r="G30" s="37">
        <f>0</f>
        <v>0</v>
      </c>
      <c r="H30" s="17">
        <f t="shared" si="4"/>
        <v>26.778229166666669</v>
      </c>
      <c r="I30" s="17">
        <f t="shared" si="5"/>
        <v>-0.24677083333333272</v>
      </c>
      <c r="J30" s="19">
        <f t="shared" si="6"/>
        <v>9.131205673758842E-3</v>
      </c>
      <c r="K30" s="35" t="s">
        <v>40</v>
      </c>
    </row>
    <row r="31" spans="1:13" ht="15">
      <c r="A31" s="7">
        <v>24</v>
      </c>
      <c r="B31" s="9">
        <f t="shared" si="0"/>
        <v>28.200000000000003</v>
      </c>
      <c r="C31" s="11">
        <f t="shared" si="1"/>
        <v>108.735818801363</v>
      </c>
      <c r="D31" s="13">
        <f t="shared" si="2"/>
        <v>109</v>
      </c>
      <c r="E31" s="37">
        <f>0</f>
        <v>0</v>
      </c>
      <c r="F31" s="37">
        <f t="shared" si="3"/>
        <v>109</v>
      </c>
      <c r="G31" s="37">
        <f>0</f>
        <v>0</v>
      </c>
      <c r="H31" s="17">
        <f t="shared" si="4"/>
        <v>28.337291666666669</v>
      </c>
      <c r="I31" s="17">
        <f t="shared" si="5"/>
        <v>0.13729166666666615</v>
      </c>
      <c r="J31" s="19">
        <f t="shared" si="6"/>
        <v>4.8684988179668841E-3</v>
      </c>
      <c r="K31" s="35" t="s">
        <v>40</v>
      </c>
    </row>
    <row r="32" spans="1:13" ht="15">
      <c r="A32" s="7">
        <v>25</v>
      </c>
      <c r="B32" s="9">
        <f t="shared" si="0"/>
        <v>29.375</v>
      </c>
      <c r="C32" s="11">
        <f t="shared" si="1"/>
        <v>110.99679294447785</v>
      </c>
      <c r="D32" s="13">
        <f t="shared" si="2"/>
        <v>111</v>
      </c>
      <c r="E32" s="37">
        <f>0</f>
        <v>0</v>
      </c>
      <c r="F32" s="37">
        <f t="shared" si="3"/>
        <v>111</v>
      </c>
      <c r="G32" s="37">
        <f>0</f>
        <v>0</v>
      </c>
      <c r="H32" s="17">
        <f t="shared" si="4"/>
        <v>29.376666666666669</v>
      </c>
      <c r="I32" s="17">
        <f t="shared" si="5"/>
        <v>1.6666666666687036E-3</v>
      </c>
      <c r="J32" s="19">
        <f t="shared" si="6"/>
        <v>5.6737588652551612E-5</v>
      </c>
      <c r="K32" s="35" t="s">
        <v>40</v>
      </c>
    </row>
    <row r="33" spans="1:11" ht="15">
      <c r="A33" s="7">
        <v>26</v>
      </c>
      <c r="B33" s="9">
        <f t="shared" si="0"/>
        <v>30.55</v>
      </c>
      <c r="C33" s="11">
        <f t="shared" si="1"/>
        <v>113.02918393082328</v>
      </c>
      <c r="D33" s="13">
        <f t="shared" si="2"/>
        <v>113</v>
      </c>
      <c r="E33" s="37">
        <f>0</f>
        <v>0</v>
      </c>
      <c r="F33" s="37">
        <f t="shared" si="3"/>
        <v>113</v>
      </c>
      <c r="G33" s="37">
        <f>0</f>
        <v>0</v>
      </c>
      <c r="H33" s="17">
        <f t="shared" si="4"/>
        <v>30.533125000000002</v>
      </c>
      <c r="I33" s="17">
        <f t="shared" si="5"/>
        <v>-1.6874999999998863E-2</v>
      </c>
      <c r="J33" s="19">
        <f t="shared" si="6"/>
        <v>5.5237315875610027E-4</v>
      </c>
      <c r="K33" s="35" t="s">
        <v>40</v>
      </c>
    </row>
    <row r="34" spans="1:11" ht="15">
      <c r="A34" s="7">
        <v>27</v>
      </c>
      <c r="B34" s="9">
        <f t="shared" si="0"/>
        <v>31.725000000000001</v>
      </c>
      <c r="C34" s="11">
        <f t="shared" si="1"/>
        <v>115.06125022518465</v>
      </c>
      <c r="D34" s="13">
        <f t="shared" si="2"/>
        <v>115</v>
      </c>
      <c r="E34" s="37">
        <f>0</f>
        <v>0</v>
      </c>
      <c r="F34" s="37">
        <f t="shared" si="3"/>
        <v>115</v>
      </c>
      <c r="G34" s="37">
        <f>0</f>
        <v>0</v>
      </c>
      <c r="H34" s="17">
        <f t="shared" si="4"/>
        <v>31.689583333333335</v>
      </c>
      <c r="I34" s="17">
        <f t="shared" si="5"/>
        <v>-3.541666666666643E-2</v>
      </c>
      <c r="J34" s="19">
        <f t="shared" si="6"/>
        <v>1.1163645915418889E-3</v>
      </c>
      <c r="K34" s="35" t="s">
        <v>40</v>
      </c>
    </row>
    <row r="35" spans="1:11" ht="15">
      <c r="A35" s="7">
        <v>28</v>
      </c>
      <c r="B35" s="9">
        <f t="shared" si="0"/>
        <v>32.9</v>
      </c>
      <c r="C35" s="11">
        <f t="shared" si="1"/>
        <v>117.09331651954602</v>
      </c>
      <c r="D35" s="13">
        <f t="shared" si="2"/>
        <v>117</v>
      </c>
      <c r="E35" s="37">
        <f>0</f>
        <v>0</v>
      </c>
      <c r="F35" s="37">
        <f t="shared" si="3"/>
        <v>117</v>
      </c>
      <c r="G35" s="37">
        <f>0</f>
        <v>0</v>
      </c>
      <c r="H35" s="17">
        <f t="shared" si="4"/>
        <v>32.846041666666672</v>
      </c>
      <c r="I35" s="17">
        <f t="shared" si="5"/>
        <v>-5.3958333333326891E-2</v>
      </c>
      <c r="J35" s="19">
        <f t="shared" si="6"/>
        <v>1.6400709219856198E-3</v>
      </c>
      <c r="K35" s="35" t="s">
        <v>40</v>
      </c>
    </row>
    <row r="36" spans="1:11" ht="15">
      <c r="A36" s="7">
        <v>29</v>
      </c>
      <c r="B36" s="9">
        <f t="shared" si="0"/>
        <v>34.075000000000003</v>
      </c>
      <c r="C36" s="11">
        <f t="shared" si="1"/>
        <v>119.12538281390741</v>
      </c>
      <c r="D36" s="13">
        <f t="shared" si="2"/>
        <v>119</v>
      </c>
      <c r="E36" s="37">
        <f>0</f>
        <v>0</v>
      </c>
      <c r="F36" s="37">
        <f t="shared" si="3"/>
        <v>119</v>
      </c>
      <c r="G36" s="37">
        <f>0</f>
        <v>0</v>
      </c>
      <c r="H36" s="17">
        <f t="shared" si="4"/>
        <v>34.002500000000005</v>
      </c>
      <c r="I36" s="17">
        <f t="shared" si="5"/>
        <v>-7.249999999999801E-2</v>
      </c>
      <c r="J36" s="19">
        <f t="shared" si="6"/>
        <v>2.1276595744680266E-3</v>
      </c>
      <c r="K36" s="35" t="s">
        <v>40</v>
      </c>
    </row>
    <row r="37" spans="1:11" ht="15">
      <c r="A37" s="7">
        <v>30</v>
      </c>
      <c r="B37" s="9">
        <f t="shared" si="0"/>
        <v>35.25</v>
      </c>
      <c r="C37" s="11">
        <f t="shared" si="1"/>
        <v>121.15744910826878</v>
      </c>
      <c r="D37" s="13">
        <f t="shared" si="2"/>
        <v>121</v>
      </c>
      <c r="E37" s="37">
        <f>0</f>
        <v>0</v>
      </c>
      <c r="F37" s="37">
        <f t="shared" si="3"/>
        <v>121</v>
      </c>
      <c r="G37" s="37">
        <f>0</f>
        <v>0</v>
      </c>
      <c r="H37" s="17">
        <f t="shared" si="4"/>
        <v>35.158958333333338</v>
      </c>
      <c r="I37" s="17">
        <f t="shared" si="5"/>
        <v>-9.1041666666662024E-2</v>
      </c>
      <c r="J37" s="19">
        <f t="shared" si="6"/>
        <v>2.5827423167847385E-3</v>
      </c>
      <c r="K37" s="35" t="s">
        <v>40</v>
      </c>
    </row>
    <row r="38" spans="1:11" ht="15">
      <c r="A38" s="7">
        <v>31</v>
      </c>
      <c r="B38" s="9">
        <f t="shared" si="0"/>
        <v>36.425000000000004</v>
      </c>
      <c r="C38" s="11">
        <f t="shared" si="1"/>
        <v>123.18951540263016</v>
      </c>
      <c r="D38" s="13">
        <f t="shared" si="2"/>
        <v>123</v>
      </c>
      <c r="E38" s="37">
        <f>0</f>
        <v>0</v>
      </c>
      <c r="F38" s="37">
        <f t="shared" si="3"/>
        <v>123</v>
      </c>
      <c r="G38" s="37">
        <f>0</f>
        <v>0</v>
      </c>
      <c r="H38" s="17">
        <f t="shared" si="4"/>
        <v>36.315416666666671</v>
      </c>
      <c r="I38" s="17">
        <f t="shared" si="5"/>
        <v>-0.10958333333333314</v>
      </c>
      <c r="J38" s="19">
        <f t="shared" si="6"/>
        <v>3.0084648821779858E-3</v>
      </c>
      <c r="K38" s="35" t="s">
        <v>40</v>
      </c>
    </row>
    <row r="39" spans="1:11" ht="15">
      <c r="A39" s="7">
        <v>32</v>
      </c>
      <c r="B39" s="9">
        <f t="shared" ref="B39:B70" si="7">MIN(A39*$I$3,$C$3)</f>
        <v>37.6</v>
      </c>
      <c r="C39" s="11">
        <f t="shared" ref="C39:C70" si="8">IF(B39&lt;=0,0,IF(B39&gt;=$C$3,255,INDEX($L$7:$L$23,MATCH(B39,$M$7:$M$23,1))+(B39-INDEX($M$7:$M$23,MATCH(B39,$M$7:$M$23,1)))*(INDEX($L$7:$L$23,MATCH(B39,$M$7:$M$23,1)+1)-INDEX($L$7:$L$23,MATCH(B39,$M$7:$M$23,1)))/(INDEX($M$7:$M$23,MATCH(B39,$M$7:$M$23,1)+1)-INDEX($M$7:$M$23,MATCH(B39,$M$7:$M$23,1)))))</f>
        <v>125.22158169699154</v>
      </c>
      <c r="D39" s="13">
        <f t="shared" ref="D39:D70" si="9">ROUND(C39,0)</f>
        <v>125</v>
      </c>
      <c r="E39" s="37">
        <f>0</f>
        <v>0</v>
      </c>
      <c r="F39" s="37">
        <f t="shared" ref="F39:F70" si="10">D39</f>
        <v>125</v>
      </c>
      <c r="G39" s="37">
        <f>0</f>
        <v>0</v>
      </c>
      <c r="H39" s="17">
        <f t="shared" ref="H39:H70" si="11">IF(D39&lt;=0,0,IF(D39&gt;=255,$C$3,INDEX($M$7:$M$23,MATCH(D39,$L$7:$L$23,1))+(D39-INDEX($L$7:$L$23,MATCH(D39,$L$7:$L$23,1)))*(INDEX($M$7:$M$23,MATCH(D39,$L$7:$L$23,1)+1)-INDEX($M$7:$M$23,MATCH(D39,$L$7:$L$23,1)))/(INDEX($L$7:$L$23,MATCH(D39,$L$7:$L$23,1)+1)-INDEX($L$7:$L$23,MATCH(D39,$L$7:$L$23,1)))))</f>
        <v>37.471875000000004</v>
      </c>
      <c r="I39" s="17">
        <f t="shared" ref="I39:I70" si="12">H39-B39</f>
        <v>-0.12812499999999716</v>
      </c>
      <c r="J39" s="19">
        <f t="shared" ref="J39:J70" si="13">IF(B39=0,0,ABS(I39/B39))</f>
        <v>3.4075797872339668E-3</v>
      </c>
      <c r="K39" s="35" t="s">
        <v>40</v>
      </c>
    </row>
    <row r="40" spans="1:11" ht="15">
      <c r="A40" s="7">
        <v>33</v>
      </c>
      <c r="B40" s="9">
        <f t="shared" si="7"/>
        <v>38.774999999999999</v>
      </c>
      <c r="C40" s="11">
        <f t="shared" si="8"/>
        <v>127.20992992396003</v>
      </c>
      <c r="D40" s="13">
        <f t="shared" si="9"/>
        <v>127</v>
      </c>
      <c r="E40" s="37">
        <f>0</f>
        <v>0</v>
      </c>
      <c r="F40" s="37">
        <f t="shared" si="10"/>
        <v>127</v>
      </c>
      <c r="G40" s="37">
        <f>0</f>
        <v>0</v>
      </c>
      <c r="H40" s="17">
        <f t="shared" si="11"/>
        <v>38.628333333333337</v>
      </c>
      <c r="I40" s="17">
        <f t="shared" si="12"/>
        <v>-0.14666666666666117</v>
      </c>
      <c r="J40" s="19">
        <f t="shared" si="13"/>
        <v>3.7825059101653431E-3</v>
      </c>
      <c r="K40" s="35" t="s">
        <v>40</v>
      </c>
    </row>
    <row r="41" spans="1:11" ht="15">
      <c r="A41" s="7">
        <v>34</v>
      </c>
      <c r="B41" s="9">
        <f t="shared" si="7"/>
        <v>39.950000000000003</v>
      </c>
      <c r="C41" s="11">
        <f t="shared" si="8"/>
        <v>128.89175488295811</v>
      </c>
      <c r="D41" s="13">
        <f t="shared" si="9"/>
        <v>129</v>
      </c>
      <c r="E41" s="37">
        <f>0</f>
        <v>0</v>
      </c>
      <c r="F41" s="37">
        <f t="shared" si="10"/>
        <v>129</v>
      </c>
      <c r="G41" s="37">
        <f>0</f>
        <v>0</v>
      </c>
      <c r="H41" s="17">
        <f t="shared" si="11"/>
        <v>40.025625000000005</v>
      </c>
      <c r="I41" s="17">
        <f t="shared" si="12"/>
        <v>7.5625000000002274E-2</v>
      </c>
      <c r="J41" s="19">
        <f t="shared" si="13"/>
        <v>1.8929912390488678E-3</v>
      </c>
      <c r="K41" s="35" t="s">
        <v>40</v>
      </c>
    </row>
    <row r="42" spans="1:11" ht="15">
      <c r="A42" s="7">
        <v>35</v>
      </c>
      <c r="B42" s="9">
        <f t="shared" si="7"/>
        <v>41.125</v>
      </c>
      <c r="C42" s="11">
        <f t="shared" si="8"/>
        <v>130.57357984195616</v>
      </c>
      <c r="D42" s="13">
        <f t="shared" si="9"/>
        <v>131</v>
      </c>
      <c r="E42" s="37">
        <f>0</f>
        <v>0</v>
      </c>
      <c r="F42" s="37">
        <f t="shared" si="10"/>
        <v>131</v>
      </c>
      <c r="G42" s="37">
        <f>0</f>
        <v>0</v>
      </c>
      <c r="H42" s="17">
        <f t="shared" si="11"/>
        <v>41.422916666666666</v>
      </c>
      <c r="I42" s="17">
        <f t="shared" si="12"/>
        <v>0.29791666666666572</v>
      </c>
      <c r="J42" s="19">
        <f t="shared" si="13"/>
        <v>7.2441742654508383E-3</v>
      </c>
      <c r="K42" s="35" t="s">
        <v>40</v>
      </c>
    </row>
    <row r="43" spans="1:11" ht="15">
      <c r="A43" s="7">
        <v>36</v>
      </c>
      <c r="B43" s="9">
        <f t="shared" si="7"/>
        <v>42.300000000000004</v>
      </c>
      <c r="C43" s="11">
        <f t="shared" si="8"/>
        <v>132.25540480095424</v>
      </c>
      <c r="D43" s="13">
        <f t="shared" si="9"/>
        <v>132</v>
      </c>
      <c r="E43" s="37">
        <f>0</f>
        <v>0</v>
      </c>
      <c r="F43" s="37">
        <f t="shared" si="10"/>
        <v>132</v>
      </c>
      <c r="G43" s="37">
        <f>0</f>
        <v>0</v>
      </c>
      <c r="H43" s="17">
        <f t="shared" si="11"/>
        <v>42.121562500000003</v>
      </c>
      <c r="I43" s="17">
        <f t="shared" si="12"/>
        <v>-0.17843750000000114</v>
      </c>
      <c r="J43" s="19">
        <f t="shared" si="13"/>
        <v>4.2183806146572364E-3</v>
      </c>
      <c r="K43" s="35" t="s">
        <v>40</v>
      </c>
    </row>
    <row r="44" spans="1:11" ht="15">
      <c r="A44" s="7">
        <v>37</v>
      </c>
      <c r="B44" s="9">
        <f t="shared" si="7"/>
        <v>43.475000000000001</v>
      </c>
      <c r="C44" s="11">
        <f t="shared" si="8"/>
        <v>133.93722975995229</v>
      </c>
      <c r="D44" s="13">
        <f t="shared" si="9"/>
        <v>134</v>
      </c>
      <c r="E44" s="37">
        <f>0</f>
        <v>0</v>
      </c>
      <c r="F44" s="37">
        <f t="shared" si="10"/>
        <v>134</v>
      </c>
      <c r="G44" s="37">
        <f>0</f>
        <v>0</v>
      </c>
      <c r="H44" s="17">
        <f t="shared" si="11"/>
        <v>43.518854166666671</v>
      </c>
      <c r="I44" s="17">
        <f t="shared" si="12"/>
        <v>4.3854166666669414E-2</v>
      </c>
      <c r="J44" s="19">
        <f t="shared" si="13"/>
        <v>1.0087214874449548E-3</v>
      </c>
      <c r="K44" s="35" t="s">
        <v>40</v>
      </c>
    </row>
    <row r="45" spans="1:11" ht="15">
      <c r="A45" s="7">
        <v>38</v>
      </c>
      <c r="B45" s="9">
        <f t="shared" si="7"/>
        <v>44.65</v>
      </c>
      <c r="C45" s="11">
        <f t="shared" si="8"/>
        <v>135.61905471895034</v>
      </c>
      <c r="D45" s="13">
        <f t="shared" si="9"/>
        <v>136</v>
      </c>
      <c r="E45" s="37">
        <f>0</f>
        <v>0</v>
      </c>
      <c r="F45" s="37">
        <f t="shared" si="10"/>
        <v>136</v>
      </c>
      <c r="G45" s="37">
        <f>0</f>
        <v>0</v>
      </c>
      <c r="H45" s="17">
        <f t="shared" si="11"/>
        <v>44.916145833333331</v>
      </c>
      <c r="I45" s="17">
        <f t="shared" si="12"/>
        <v>0.26614583333333286</v>
      </c>
      <c r="J45" s="19">
        <f t="shared" si="13"/>
        <v>5.9607129525942413E-3</v>
      </c>
      <c r="K45" s="35" t="s">
        <v>40</v>
      </c>
    </row>
    <row r="46" spans="1:11" ht="15">
      <c r="A46" s="7">
        <v>39</v>
      </c>
      <c r="B46" s="9">
        <f t="shared" si="7"/>
        <v>45.825000000000003</v>
      </c>
      <c r="C46" s="11">
        <f t="shared" si="8"/>
        <v>137.30087967794842</v>
      </c>
      <c r="D46" s="13">
        <f t="shared" si="9"/>
        <v>137</v>
      </c>
      <c r="E46" s="37">
        <f>0</f>
        <v>0</v>
      </c>
      <c r="F46" s="37">
        <f t="shared" si="10"/>
        <v>137</v>
      </c>
      <c r="G46" s="37">
        <f>0</f>
        <v>0</v>
      </c>
      <c r="H46" s="17">
        <f t="shared" si="11"/>
        <v>45.614791666666669</v>
      </c>
      <c r="I46" s="17">
        <f t="shared" si="12"/>
        <v>-0.210208333333334</v>
      </c>
      <c r="J46" s="19">
        <f t="shared" si="13"/>
        <v>4.5871976723040695E-3</v>
      </c>
      <c r="K46" s="35" t="s">
        <v>40</v>
      </c>
    </row>
    <row r="47" spans="1:11" ht="15">
      <c r="A47" s="7">
        <v>40</v>
      </c>
      <c r="B47" s="9">
        <f t="shared" si="7"/>
        <v>47</v>
      </c>
      <c r="C47" s="11">
        <f t="shared" si="8"/>
        <v>138.98270463694647</v>
      </c>
      <c r="D47" s="13">
        <f t="shared" si="9"/>
        <v>139</v>
      </c>
      <c r="E47" s="37">
        <f>0</f>
        <v>0</v>
      </c>
      <c r="F47" s="37">
        <f t="shared" si="10"/>
        <v>139</v>
      </c>
      <c r="G47" s="37">
        <f>0</f>
        <v>0</v>
      </c>
      <c r="H47" s="17">
        <f t="shared" si="11"/>
        <v>47.012083333333337</v>
      </c>
      <c r="I47" s="17">
        <f t="shared" si="12"/>
        <v>1.2083333333336554E-2</v>
      </c>
      <c r="J47" s="19">
        <f t="shared" si="13"/>
        <v>2.5709219858162884E-4</v>
      </c>
      <c r="K47" s="35" t="s">
        <v>40</v>
      </c>
    </row>
    <row r="48" spans="1:11" ht="15">
      <c r="A48" s="7">
        <v>41</v>
      </c>
      <c r="B48" s="9">
        <f t="shared" si="7"/>
        <v>48.175000000000004</v>
      </c>
      <c r="C48" s="11">
        <f t="shared" si="8"/>
        <v>140.66452959594454</v>
      </c>
      <c r="D48" s="13">
        <f t="shared" si="9"/>
        <v>141</v>
      </c>
      <c r="E48" s="37">
        <f>0</f>
        <v>0</v>
      </c>
      <c r="F48" s="37">
        <f t="shared" si="10"/>
        <v>141</v>
      </c>
      <c r="G48" s="37">
        <f>0</f>
        <v>0</v>
      </c>
      <c r="H48" s="17">
        <f t="shared" si="11"/>
        <v>48.409374999999997</v>
      </c>
      <c r="I48" s="17">
        <f t="shared" si="12"/>
        <v>0.23437499999999289</v>
      </c>
      <c r="J48" s="19">
        <f t="shared" si="13"/>
        <v>4.8650752464969981E-3</v>
      </c>
      <c r="K48" s="35" t="s">
        <v>40</v>
      </c>
    </row>
    <row r="49" spans="1:11" ht="15">
      <c r="A49" s="7">
        <v>42</v>
      </c>
      <c r="B49" s="9">
        <f t="shared" si="7"/>
        <v>49.35</v>
      </c>
      <c r="C49" s="11">
        <f t="shared" si="8"/>
        <v>142.34635455494259</v>
      </c>
      <c r="D49" s="13">
        <f t="shared" si="9"/>
        <v>142</v>
      </c>
      <c r="E49" s="37">
        <f>0</f>
        <v>0</v>
      </c>
      <c r="F49" s="37">
        <f t="shared" si="10"/>
        <v>142</v>
      </c>
      <c r="G49" s="37">
        <f>0</f>
        <v>0</v>
      </c>
      <c r="H49" s="17">
        <f t="shared" si="11"/>
        <v>49.108020833333327</v>
      </c>
      <c r="I49" s="17">
        <f t="shared" si="12"/>
        <v>-0.24197916666667396</v>
      </c>
      <c r="J49" s="19">
        <f t="shared" si="13"/>
        <v>4.9033265788586411E-3</v>
      </c>
      <c r="K49" s="35" t="s">
        <v>40</v>
      </c>
    </row>
    <row r="50" spans="1:11" ht="15">
      <c r="A50" s="7">
        <v>43</v>
      </c>
      <c r="B50" s="9">
        <f t="shared" si="7"/>
        <v>50.524999999999999</v>
      </c>
      <c r="C50" s="11">
        <f t="shared" si="8"/>
        <v>143.88071519795659</v>
      </c>
      <c r="D50" s="13">
        <f t="shared" si="9"/>
        <v>144</v>
      </c>
      <c r="E50" s="37">
        <f>0</f>
        <v>0</v>
      </c>
      <c r="F50" s="37">
        <f t="shared" si="10"/>
        <v>144</v>
      </c>
      <c r="G50" s="37">
        <f>0</f>
        <v>0</v>
      </c>
      <c r="H50" s="17">
        <f t="shared" si="11"/>
        <v>50.622291666666662</v>
      </c>
      <c r="I50" s="17">
        <f t="shared" si="12"/>
        <v>9.7291666666663446E-2</v>
      </c>
      <c r="J50" s="19">
        <f t="shared" si="13"/>
        <v>1.9256143823189202E-3</v>
      </c>
      <c r="K50" s="35" t="s">
        <v>40</v>
      </c>
    </row>
    <row r="51" spans="1:11" ht="15">
      <c r="A51" s="7">
        <v>44</v>
      </c>
      <c r="B51" s="9">
        <f t="shared" si="7"/>
        <v>51.7</v>
      </c>
      <c r="C51" s="11">
        <f t="shared" si="8"/>
        <v>145.32132822477649</v>
      </c>
      <c r="D51" s="13">
        <f t="shared" si="9"/>
        <v>145</v>
      </c>
      <c r="E51" s="37">
        <f>0</f>
        <v>0</v>
      </c>
      <c r="F51" s="37">
        <f t="shared" si="10"/>
        <v>145</v>
      </c>
      <c r="G51" s="37">
        <f>0</f>
        <v>0</v>
      </c>
      <c r="H51" s="17">
        <f t="shared" si="11"/>
        <v>51.437916666666666</v>
      </c>
      <c r="I51" s="17">
        <f t="shared" si="12"/>
        <v>-0.26208333333333655</v>
      </c>
      <c r="J51" s="19">
        <f t="shared" si="13"/>
        <v>5.0693101225016742E-3</v>
      </c>
      <c r="K51" s="35" t="s">
        <v>40</v>
      </c>
    </row>
    <row r="52" spans="1:11" ht="15">
      <c r="A52" s="7">
        <v>45</v>
      </c>
      <c r="B52" s="9">
        <f t="shared" si="7"/>
        <v>52.875</v>
      </c>
      <c r="C52" s="11">
        <f t="shared" si="8"/>
        <v>146.76194125159643</v>
      </c>
      <c r="D52" s="13">
        <f t="shared" si="9"/>
        <v>147</v>
      </c>
      <c r="E52" s="37">
        <f>0</f>
        <v>0</v>
      </c>
      <c r="F52" s="37">
        <f t="shared" si="10"/>
        <v>147</v>
      </c>
      <c r="G52" s="37">
        <f>0</f>
        <v>0</v>
      </c>
      <c r="H52" s="17">
        <f t="shared" si="11"/>
        <v>53.069166666666661</v>
      </c>
      <c r="I52" s="17">
        <f t="shared" si="12"/>
        <v>0.1941666666666606</v>
      </c>
      <c r="J52" s="19">
        <f t="shared" si="13"/>
        <v>3.6721828211188768E-3</v>
      </c>
      <c r="K52" s="35" t="s">
        <v>40</v>
      </c>
    </row>
    <row r="53" spans="1:11" ht="15">
      <c r="A53" s="7">
        <v>46</v>
      </c>
      <c r="B53" s="9">
        <f t="shared" si="7"/>
        <v>54.050000000000004</v>
      </c>
      <c r="C53" s="11">
        <f t="shared" si="8"/>
        <v>148.20255427841636</v>
      </c>
      <c r="D53" s="13">
        <f t="shared" si="9"/>
        <v>148</v>
      </c>
      <c r="E53" s="37">
        <f>0</f>
        <v>0</v>
      </c>
      <c r="F53" s="37">
        <f t="shared" si="10"/>
        <v>148</v>
      </c>
      <c r="G53" s="37">
        <f>0</f>
        <v>0</v>
      </c>
      <c r="H53" s="17">
        <f t="shared" si="11"/>
        <v>53.884791666666665</v>
      </c>
      <c r="I53" s="17">
        <f t="shared" si="12"/>
        <v>-0.1652083333333394</v>
      </c>
      <c r="J53" s="19">
        <f t="shared" si="13"/>
        <v>3.0565834104225604E-3</v>
      </c>
      <c r="K53" s="35" t="s">
        <v>40</v>
      </c>
    </row>
    <row r="54" spans="1:11" ht="15">
      <c r="A54" s="7">
        <v>47</v>
      </c>
      <c r="B54" s="9">
        <f t="shared" si="7"/>
        <v>55.225000000000001</v>
      </c>
      <c r="C54" s="11">
        <f t="shared" si="8"/>
        <v>149.64316730523629</v>
      </c>
      <c r="D54" s="13">
        <f t="shared" si="9"/>
        <v>150</v>
      </c>
      <c r="E54" s="37">
        <f>0</f>
        <v>0</v>
      </c>
      <c r="F54" s="37">
        <f t="shared" si="10"/>
        <v>150</v>
      </c>
      <c r="G54" s="37">
        <f>0</f>
        <v>0</v>
      </c>
      <c r="H54" s="17">
        <f t="shared" si="11"/>
        <v>55.516041666666666</v>
      </c>
      <c r="I54" s="17">
        <f t="shared" si="12"/>
        <v>0.29104166666666487</v>
      </c>
      <c r="J54" s="19">
        <f t="shared" si="13"/>
        <v>5.2701071374679012E-3</v>
      </c>
      <c r="K54" s="35" t="s">
        <v>40</v>
      </c>
    </row>
    <row r="55" spans="1:11" ht="15">
      <c r="A55" s="7">
        <v>48</v>
      </c>
      <c r="B55" s="9">
        <f t="shared" si="7"/>
        <v>56.400000000000006</v>
      </c>
      <c r="C55" s="11">
        <f t="shared" si="8"/>
        <v>151.08378033205619</v>
      </c>
      <c r="D55" s="13">
        <f t="shared" si="9"/>
        <v>151</v>
      </c>
      <c r="E55" s="37">
        <f>0</f>
        <v>0</v>
      </c>
      <c r="F55" s="37">
        <f t="shared" si="10"/>
        <v>151</v>
      </c>
      <c r="G55" s="37">
        <f>0</f>
        <v>0</v>
      </c>
      <c r="H55" s="17">
        <f t="shared" si="11"/>
        <v>56.331666666666663</v>
      </c>
      <c r="I55" s="17">
        <f t="shared" si="12"/>
        <v>-6.8333333333342239E-2</v>
      </c>
      <c r="J55" s="19">
        <f t="shared" si="13"/>
        <v>1.2115839243500397E-3</v>
      </c>
      <c r="K55" s="35" t="s">
        <v>40</v>
      </c>
    </row>
    <row r="56" spans="1:11" ht="15">
      <c r="A56" s="7">
        <v>49</v>
      </c>
      <c r="B56" s="9">
        <f t="shared" si="7"/>
        <v>57.575000000000003</v>
      </c>
      <c r="C56" s="11">
        <f t="shared" si="8"/>
        <v>152.52439335887613</v>
      </c>
      <c r="D56" s="13">
        <f t="shared" si="9"/>
        <v>153</v>
      </c>
      <c r="E56" s="37">
        <f>0</f>
        <v>0</v>
      </c>
      <c r="F56" s="37">
        <f t="shared" si="10"/>
        <v>153</v>
      </c>
      <c r="G56" s="37">
        <f>0</f>
        <v>0</v>
      </c>
      <c r="H56" s="17">
        <f t="shared" si="11"/>
        <v>57.962916666666665</v>
      </c>
      <c r="I56" s="17">
        <f t="shared" si="12"/>
        <v>0.38791666666666202</v>
      </c>
      <c r="J56" s="19">
        <f t="shared" si="13"/>
        <v>6.7375886524821882E-3</v>
      </c>
      <c r="K56" s="35" t="s">
        <v>40</v>
      </c>
    </row>
    <row r="57" spans="1:11" ht="15">
      <c r="A57" s="7">
        <v>50</v>
      </c>
      <c r="B57" s="9">
        <f t="shared" si="7"/>
        <v>58.75</v>
      </c>
      <c r="C57" s="11">
        <f t="shared" si="8"/>
        <v>153.96500638569606</v>
      </c>
      <c r="D57" s="13">
        <f t="shared" si="9"/>
        <v>154</v>
      </c>
      <c r="E57" s="37">
        <f>0</f>
        <v>0</v>
      </c>
      <c r="F57" s="37">
        <f t="shared" si="10"/>
        <v>154</v>
      </c>
      <c r="G57" s="37">
        <f>0</f>
        <v>0</v>
      </c>
      <c r="H57" s="17">
        <f t="shared" si="11"/>
        <v>58.778541666666662</v>
      </c>
      <c r="I57" s="17">
        <f t="shared" si="12"/>
        <v>2.8541666666662024E-2</v>
      </c>
      <c r="J57" s="19">
        <f t="shared" si="13"/>
        <v>4.858156028368004E-4</v>
      </c>
      <c r="K57" s="35" t="s">
        <v>40</v>
      </c>
    </row>
    <row r="58" spans="1:11" ht="15">
      <c r="A58" s="7">
        <v>51</v>
      </c>
      <c r="B58" s="9">
        <f t="shared" si="7"/>
        <v>59.925000000000004</v>
      </c>
      <c r="C58" s="11">
        <f t="shared" si="8"/>
        <v>155.40561941251599</v>
      </c>
      <c r="D58" s="13">
        <f t="shared" si="9"/>
        <v>155</v>
      </c>
      <c r="E58" s="37">
        <f>0</f>
        <v>0</v>
      </c>
      <c r="F58" s="37">
        <f t="shared" si="10"/>
        <v>155</v>
      </c>
      <c r="G58" s="37">
        <f>0</f>
        <v>0</v>
      </c>
      <c r="H58" s="17">
        <f t="shared" si="11"/>
        <v>59.594166666666666</v>
      </c>
      <c r="I58" s="17">
        <f t="shared" si="12"/>
        <v>-0.33083333333333798</v>
      </c>
      <c r="J58" s="19">
        <f t="shared" si="13"/>
        <v>5.5207898762342587E-3</v>
      </c>
      <c r="K58" s="35" t="s">
        <v>40</v>
      </c>
    </row>
    <row r="59" spans="1:11" ht="15">
      <c r="A59" s="7">
        <v>52</v>
      </c>
      <c r="B59" s="9">
        <f t="shared" si="7"/>
        <v>61.1</v>
      </c>
      <c r="C59" s="11">
        <f t="shared" si="8"/>
        <v>156.84623243933589</v>
      </c>
      <c r="D59" s="13">
        <f t="shared" si="9"/>
        <v>157</v>
      </c>
      <c r="E59" s="37">
        <f>0</f>
        <v>0</v>
      </c>
      <c r="F59" s="37">
        <f t="shared" si="10"/>
        <v>157</v>
      </c>
      <c r="G59" s="37">
        <f>0</f>
        <v>0</v>
      </c>
      <c r="H59" s="17">
        <f t="shared" si="11"/>
        <v>61.225416666666661</v>
      </c>
      <c r="I59" s="17">
        <f t="shared" si="12"/>
        <v>0.12541666666665918</v>
      </c>
      <c r="J59" s="19">
        <f t="shared" si="13"/>
        <v>2.0526459356245367E-3</v>
      </c>
      <c r="K59" s="35" t="s">
        <v>40</v>
      </c>
    </row>
    <row r="60" spans="1:11" ht="15">
      <c r="A60" s="7">
        <v>53</v>
      </c>
      <c r="B60" s="9">
        <f t="shared" si="7"/>
        <v>62.275000000000006</v>
      </c>
      <c r="C60" s="11">
        <f t="shared" si="8"/>
        <v>158.28684546615582</v>
      </c>
      <c r="D60" s="13">
        <f t="shared" si="9"/>
        <v>158</v>
      </c>
      <c r="E60" s="37">
        <f>0</f>
        <v>0</v>
      </c>
      <c r="F60" s="37">
        <f t="shared" si="10"/>
        <v>158</v>
      </c>
      <c r="G60" s="37">
        <f>0</f>
        <v>0</v>
      </c>
      <c r="H60" s="17">
        <f t="shared" si="11"/>
        <v>62.041041666666658</v>
      </c>
      <c r="I60" s="17">
        <f t="shared" si="12"/>
        <v>-0.23395833333334792</v>
      </c>
      <c r="J60" s="19">
        <f t="shared" si="13"/>
        <v>3.7568580222135353E-3</v>
      </c>
      <c r="K60" s="35" t="s">
        <v>40</v>
      </c>
    </row>
    <row r="61" spans="1:11" ht="15">
      <c r="A61" s="7">
        <v>54</v>
      </c>
      <c r="B61" s="9">
        <f t="shared" si="7"/>
        <v>63.45</v>
      </c>
      <c r="C61" s="11">
        <f t="shared" si="8"/>
        <v>159.77528242820199</v>
      </c>
      <c r="D61" s="13">
        <f t="shared" si="9"/>
        <v>160</v>
      </c>
      <c r="E61" s="37">
        <f>0</f>
        <v>0</v>
      </c>
      <c r="F61" s="37">
        <f t="shared" si="10"/>
        <v>160</v>
      </c>
      <c r="G61" s="37">
        <f>0</f>
        <v>0</v>
      </c>
      <c r="H61" s="17">
        <f t="shared" si="11"/>
        <v>63.621979166666662</v>
      </c>
      <c r="I61" s="17">
        <f t="shared" si="12"/>
        <v>0.17197916666665947</v>
      </c>
      <c r="J61" s="19">
        <f t="shared" si="13"/>
        <v>2.7104675597582261E-3</v>
      </c>
      <c r="K61" s="35" t="s">
        <v>40</v>
      </c>
    </row>
    <row r="62" spans="1:11" ht="15">
      <c r="A62" s="7">
        <v>55</v>
      </c>
      <c r="B62" s="9">
        <f t="shared" si="7"/>
        <v>64.625</v>
      </c>
      <c r="C62" s="11">
        <f t="shared" si="8"/>
        <v>161.3106029671975</v>
      </c>
      <c r="D62" s="13">
        <f t="shared" si="9"/>
        <v>161</v>
      </c>
      <c r="E62" s="37">
        <f>0</f>
        <v>0</v>
      </c>
      <c r="F62" s="37">
        <f t="shared" si="10"/>
        <v>161</v>
      </c>
      <c r="G62" s="37">
        <f>0</f>
        <v>0</v>
      </c>
      <c r="H62" s="17">
        <f t="shared" si="11"/>
        <v>64.387291666666655</v>
      </c>
      <c r="I62" s="17">
        <f t="shared" si="12"/>
        <v>-0.23770833333334451</v>
      </c>
      <c r="J62" s="19">
        <f t="shared" si="13"/>
        <v>3.6782720825275748E-3</v>
      </c>
      <c r="K62" s="35" t="s">
        <v>40</v>
      </c>
    </row>
    <row r="63" spans="1:11" ht="15">
      <c r="A63" s="7">
        <v>56</v>
      </c>
      <c r="B63" s="9">
        <f t="shared" si="7"/>
        <v>65.8</v>
      </c>
      <c r="C63" s="11">
        <f t="shared" si="8"/>
        <v>162.845923506193</v>
      </c>
      <c r="D63" s="13">
        <f t="shared" si="9"/>
        <v>163</v>
      </c>
      <c r="E63" s="37">
        <f>0</f>
        <v>0</v>
      </c>
      <c r="F63" s="37">
        <f t="shared" si="10"/>
        <v>163</v>
      </c>
      <c r="G63" s="37">
        <f>0</f>
        <v>0</v>
      </c>
      <c r="H63" s="17">
        <f t="shared" si="11"/>
        <v>65.917916666666656</v>
      </c>
      <c r="I63" s="17">
        <f t="shared" si="12"/>
        <v>0.1179166666666589</v>
      </c>
      <c r="J63" s="19">
        <f t="shared" si="13"/>
        <v>1.7920466058762752E-3</v>
      </c>
      <c r="K63" s="35" t="s">
        <v>40</v>
      </c>
    </row>
    <row r="64" spans="1:11" ht="15">
      <c r="A64" s="7">
        <v>57</v>
      </c>
      <c r="B64" s="9">
        <f t="shared" si="7"/>
        <v>66.975000000000009</v>
      </c>
      <c r="C64" s="11">
        <f t="shared" si="8"/>
        <v>164.38124404518854</v>
      </c>
      <c r="D64" s="13">
        <f t="shared" si="9"/>
        <v>164</v>
      </c>
      <c r="E64" s="37">
        <f>0</f>
        <v>0</v>
      </c>
      <c r="F64" s="37">
        <f t="shared" si="10"/>
        <v>164</v>
      </c>
      <c r="G64" s="37">
        <f>0</f>
        <v>0</v>
      </c>
      <c r="H64" s="17">
        <f t="shared" si="11"/>
        <v>66.683229166666663</v>
      </c>
      <c r="I64" s="17">
        <f t="shared" si="12"/>
        <v>-0.29177083333334508</v>
      </c>
      <c r="J64" s="19">
        <f t="shared" si="13"/>
        <v>4.3564140848577088E-3</v>
      </c>
      <c r="K64" s="35" t="s">
        <v>40</v>
      </c>
    </row>
    <row r="65" spans="1:11" ht="15">
      <c r="A65" s="7">
        <v>58</v>
      </c>
      <c r="B65" s="9">
        <f t="shared" si="7"/>
        <v>68.150000000000006</v>
      </c>
      <c r="C65" s="11">
        <f t="shared" si="8"/>
        <v>165.91656458418404</v>
      </c>
      <c r="D65" s="13">
        <f t="shared" si="9"/>
        <v>166</v>
      </c>
      <c r="E65" s="37">
        <f>0</f>
        <v>0</v>
      </c>
      <c r="F65" s="37">
        <f t="shared" si="10"/>
        <v>166</v>
      </c>
      <c r="G65" s="37">
        <f>0</f>
        <v>0</v>
      </c>
      <c r="H65" s="17">
        <f t="shared" si="11"/>
        <v>68.213854166666664</v>
      </c>
      <c r="I65" s="17">
        <f t="shared" si="12"/>
        <v>6.385416666665833E-2</v>
      </c>
      <c r="J65" s="19">
        <f t="shared" si="13"/>
        <v>9.3696502812411339E-4</v>
      </c>
      <c r="K65" s="35" t="s">
        <v>40</v>
      </c>
    </row>
    <row r="66" spans="1:11" ht="15">
      <c r="A66" s="7">
        <v>59</v>
      </c>
      <c r="B66" s="9">
        <f t="shared" si="7"/>
        <v>69.325000000000003</v>
      </c>
      <c r="C66" s="11">
        <f t="shared" si="8"/>
        <v>167.45188512317955</v>
      </c>
      <c r="D66" s="13">
        <f t="shared" si="9"/>
        <v>167</v>
      </c>
      <c r="E66" s="37">
        <f>0</f>
        <v>0</v>
      </c>
      <c r="F66" s="37">
        <f t="shared" si="10"/>
        <v>167</v>
      </c>
      <c r="G66" s="37">
        <f>0</f>
        <v>0</v>
      </c>
      <c r="H66" s="17">
        <f t="shared" si="11"/>
        <v>68.979166666666657</v>
      </c>
      <c r="I66" s="17">
        <f t="shared" si="12"/>
        <v>-0.34583333333334565</v>
      </c>
      <c r="J66" s="19">
        <f t="shared" si="13"/>
        <v>4.9885803582163093E-3</v>
      </c>
      <c r="K66" s="35" t="s">
        <v>40</v>
      </c>
    </row>
    <row r="67" spans="1:11" ht="15">
      <c r="A67" s="7">
        <v>60</v>
      </c>
      <c r="B67" s="9">
        <f t="shared" si="7"/>
        <v>70.5</v>
      </c>
      <c r="C67" s="11">
        <f t="shared" si="8"/>
        <v>168.98720566217506</v>
      </c>
      <c r="D67" s="13">
        <f t="shared" si="9"/>
        <v>169</v>
      </c>
      <c r="E67" s="37">
        <f>0</f>
        <v>0</v>
      </c>
      <c r="F67" s="37">
        <f t="shared" si="10"/>
        <v>169</v>
      </c>
      <c r="G67" s="37">
        <f>0</f>
        <v>0</v>
      </c>
      <c r="H67" s="17">
        <f t="shared" si="11"/>
        <v>70.509791666666658</v>
      </c>
      <c r="I67" s="17">
        <f t="shared" si="12"/>
        <v>9.7916666666577612E-3</v>
      </c>
      <c r="J67" s="19">
        <f t="shared" si="13"/>
        <v>1.3888888888876258E-4</v>
      </c>
      <c r="K67" s="35" t="s">
        <v>40</v>
      </c>
    </row>
    <row r="68" spans="1:11" ht="15">
      <c r="A68" s="7">
        <v>61</v>
      </c>
      <c r="B68" s="9">
        <f t="shared" si="7"/>
        <v>71.674999999999997</v>
      </c>
      <c r="C68" s="11">
        <f t="shared" si="8"/>
        <v>170.52252620117056</v>
      </c>
      <c r="D68" s="13">
        <f t="shared" si="9"/>
        <v>171</v>
      </c>
      <c r="E68" s="37">
        <f>0</f>
        <v>0</v>
      </c>
      <c r="F68" s="37">
        <f t="shared" si="10"/>
        <v>171</v>
      </c>
      <c r="G68" s="37">
        <f>0</f>
        <v>0</v>
      </c>
      <c r="H68" s="17">
        <f t="shared" si="11"/>
        <v>72.040416666666658</v>
      </c>
      <c r="I68" s="17">
        <f t="shared" si="12"/>
        <v>0.36541666666666117</v>
      </c>
      <c r="J68" s="19">
        <f t="shared" si="13"/>
        <v>5.098244390187111E-3</v>
      </c>
      <c r="K68" s="35" t="s">
        <v>40</v>
      </c>
    </row>
    <row r="69" spans="1:11" ht="15">
      <c r="A69" s="7">
        <v>62</v>
      </c>
      <c r="B69" s="9">
        <f t="shared" si="7"/>
        <v>72.850000000000009</v>
      </c>
      <c r="C69" s="11">
        <f t="shared" si="8"/>
        <v>172.05784674016607</v>
      </c>
      <c r="D69" s="13">
        <f t="shared" si="9"/>
        <v>172</v>
      </c>
      <c r="E69" s="37">
        <f>0</f>
        <v>0</v>
      </c>
      <c r="F69" s="37">
        <f t="shared" si="10"/>
        <v>172</v>
      </c>
      <c r="G69" s="37">
        <f>0</f>
        <v>0</v>
      </c>
      <c r="H69" s="17">
        <f t="shared" si="11"/>
        <v>72.805729166666666</v>
      </c>
      <c r="I69" s="17">
        <f t="shared" si="12"/>
        <v>-4.4270833333342807E-2</v>
      </c>
      <c r="J69" s="19">
        <f t="shared" si="13"/>
        <v>6.0769846717011395E-4</v>
      </c>
      <c r="K69" s="35" t="s">
        <v>40</v>
      </c>
    </row>
    <row r="70" spans="1:11" ht="15">
      <c r="A70" s="7">
        <v>63</v>
      </c>
      <c r="B70" s="9">
        <f t="shared" si="7"/>
        <v>74.025000000000006</v>
      </c>
      <c r="C70" s="11">
        <f t="shared" si="8"/>
        <v>173.59316727916158</v>
      </c>
      <c r="D70" s="13">
        <f t="shared" si="9"/>
        <v>174</v>
      </c>
      <c r="E70" s="37">
        <f>0</f>
        <v>0</v>
      </c>
      <c r="F70" s="37">
        <f t="shared" si="10"/>
        <v>174</v>
      </c>
      <c r="G70" s="37">
        <f>0</f>
        <v>0</v>
      </c>
      <c r="H70" s="17">
        <f t="shared" si="11"/>
        <v>74.336354166666666</v>
      </c>
      <c r="I70" s="17">
        <f t="shared" si="12"/>
        <v>0.3113541666666606</v>
      </c>
      <c r="J70" s="19">
        <f t="shared" si="13"/>
        <v>4.2060677698974747E-3</v>
      </c>
      <c r="K70" s="35" t="s">
        <v>40</v>
      </c>
    </row>
    <row r="71" spans="1:11" ht="15">
      <c r="A71" s="7">
        <v>64</v>
      </c>
      <c r="B71" s="9">
        <f t="shared" ref="B71:B102" si="14">MIN(A71*$I$3,$C$3)</f>
        <v>75.2</v>
      </c>
      <c r="C71" s="11">
        <f t="shared" ref="C71:C102" si="15">IF(B71&lt;=0,0,IF(B71&gt;=$C$3,255,INDEX($L$7:$L$23,MATCH(B71,$M$7:$M$23,1))+(B71-INDEX($M$7:$M$23,MATCH(B71,$M$7:$M$23,1)))*(INDEX($L$7:$L$23,MATCH(B71,$M$7:$M$23,1)+1)-INDEX($L$7:$L$23,MATCH(B71,$M$7:$M$23,1)))/(INDEX($M$7:$M$23,MATCH(B71,$M$7:$M$23,1)+1)-INDEX($M$7:$M$23,MATCH(B71,$M$7:$M$23,1)))))</f>
        <v>175.1352048123747</v>
      </c>
      <c r="D71" s="13">
        <f t="shared" ref="D71:D102" si="16">ROUND(C71,0)</f>
        <v>175</v>
      </c>
      <c r="E71" s="37">
        <f>0</f>
        <v>0</v>
      </c>
      <c r="F71" s="37">
        <f t="shared" ref="F71:F102" si="17">D71</f>
        <v>175</v>
      </c>
      <c r="G71" s="37">
        <f>0</f>
        <v>0</v>
      </c>
      <c r="H71" s="17">
        <f t="shared" ref="H71:H102" si="18">IF(D71&lt;=0,0,IF(D71&gt;=255,$C$3,INDEX($M$7:$M$23,MATCH(D71,$L$7:$L$23,1))+(D71-INDEX($L$7:$L$23,MATCH(D71,$L$7:$L$23,1)))*(INDEX($M$7:$M$23,MATCH(D71,$L$7:$L$23,1)+1)-INDEX($M$7:$M$23,MATCH(D71,$L$7:$L$23,1)))/(INDEX($L$7:$L$23,MATCH(D71,$L$7:$L$23,1)+1)-INDEX($L$7:$L$23,MATCH(D71,$L$7:$L$23,1)))))</f>
        <v>75.101666666666659</v>
      </c>
      <c r="I71" s="17">
        <f t="shared" ref="I71:I102" si="19">H71-B71</f>
        <v>-9.8333333333343376E-2</v>
      </c>
      <c r="J71" s="19">
        <f t="shared" ref="J71:J102" si="20">IF(B71=0,0,ABS(I71/B71))</f>
        <v>1.3076241134753108E-3</v>
      </c>
      <c r="K71" s="35" t="s">
        <v>40</v>
      </c>
    </row>
    <row r="72" spans="1:11" ht="15">
      <c r="A72" s="7">
        <v>65</v>
      </c>
      <c r="B72" s="9">
        <f t="shared" si="14"/>
        <v>76.375</v>
      </c>
      <c r="C72" s="11">
        <f t="shared" si="15"/>
        <v>176.75078773990262</v>
      </c>
      <c r="D72" s="13">
        <f t="shared" si="16"/>
        <v>177</v>
      </c>
      <c r="E72" s="37">
        <f>0</f>
        <v>0</v>
      </c>
      <c r="F72" s="37">
        <f t="shared" si="17"/>
        <v>177</v>
      </c>
      <c r="G72" s="37">
        <f>0</f>
        <v>0</v>
      </c>
      <c r="H72" s="17">
        <f t="shared" si="18"/>
        <v>76.556249999999991</v>
      </c>
      <c r="I72" s="17">
        <f t="shared" si="19"/>
        <v>0.18124999999999147</v>
      </c>
      <c r="J72" s="19">
        <f t="shared" si="20"/>
        <v>2.3731587561373678E-3</v>
      </c>
      <c r="K72" s="35" t="s">
        <v>40</v>
      </c>
    </row>
    <row r="73" spans="1:11" ht="15">
      <c r="A73" s="7">
        <v>66</v>
      </c>
      <c r="B73" s="9">
        <f t="shared" si="14"/>
        <v>77.55</v>
      </c>
      <c r="C73" s="11">
        <f t="shared" si="15"/>
        <v>178.36637066743054</v>
      </c>
      <c r="D73" s="13">
        <f t="shared" si="16"/>
        <v>178</v>
      </c>
      <c r="E73" s="37">
        <f>0</f>
        <v>0</v>
      </c>
      <c r="F73" s="37">
        <f t="shared" si="17"/>
        <v>178</v>
      </c>
      <c r="G73" s="37">
        <f>0</f>
        <v>0</v>
      </c>
      <c r="H73" s="17">
        <f t="shared" si="18"/>
        <v>77.283541666666665</v>
      </c>
      <c r="I73" s="17">
        <f t="shared" si="19"/>
        <v>-0.26645833333333258</v>
      </c>
      <c r="J73" s="19">
        <f t="shared" si="20"/>
        <v>3.4359552976574157E-3</v>
      </c>
      <c r="K73" s="35" t="s">
        <v>40</v>
      </c>
    </row>
    <row r="74" spans="1:11" ht="15">
      <c r="A74" s="7">
        <v>67</v>
      </c>
      <c r="B74" s="9">
        <f t="shared" si="14"/>
        <v>78.725000000000009</v>
      </c>
      <c r="C74" s="11">
        <f t="shared" si="15"/>
        <v>179.98195359495847</v>
      </c>
      <c r="D74" s="13">
        <f t="shared" si="16"/>
        <v>180</v>
      </c>
      <c r="E74" s="37">
        <f>0</f>
        <v>0</v>
      </c>
      <c r="F74" s="37">
        <f t="shared" si="17"/>
        <v>180</v>
      </c>
      <c r="G74" s="37">
        <f>0</f>
        <v>0</v>
      </c>
      <c r="H74" s="17">
        <f t="shared" si="18"/>
        <v>78.738124999999997</v>
      </c>
      <c r="I74" s="17">
        <f t="shared" si="19"/>
        <v>1.3124999999988063E-2</v>
      </c>
      <c r="J74" s="19">
        <f t="shared" si="20"/>
        <v>1.6671959352160129E-4</v>
      </c>
      <c r="K74" s="35" t="s">
        <v>40</v>
      </c>
    </row>
    <row r="75" spans="1:11" ht="15">
      <c r="A75" s="7">
        <v>68</v>
      </c>
      <c r="B75" s="9">
        <f t="shared" si="14"/>
        <v>79.900000000000006</v>
      </c>
      <c r="C75" s="11">
        <f t="shared" si="15"/>
        <v>181.59753652248639</v>
      </c>
      <c r="D75" s="13">
        <f t="shared" si="16"/>
        <v>182</v>
      </c>
      <c r="E75" s="37">
        <f>0</f>
        <v>0</v>
      </c>
      <c r="F75" s="37">
        <f t="shared" si="17"/>
        <v>182</v>
      </c>
      <c r="G75" s="37">
        <f>0</f>
        <v>0</v>
      </c>
      <c r="H75" s="17">
        <f t="shared" si="18"/>
        <v>80.192708333333329</v>
      </c>
      <c r="I75" s="17">
        <f t="shared" si="19"/>
        <v>0.29270833333332291</v>
      </c>
      <c r="J75" s="19">
        <f t="shared" si="20"/>
        <v>3.6634334584896484E-3</v>
      </c>
      <c r="K75" s="35" t="s">
        <v>40</v>
      </c>
    </row>
    <row r="76" spans="1:11" ht="15">
      <c r="A76" s="7">
        <v>69</v>
      </c>
      <c r="B76" s="9">
        <f t="shared" si="14"/>
        <v>81.075000000000003</v>
      </c>
      <c r="C76" s="11">
        <f t="shared" si="15"/>
        <v>183.21311945001432</v>
      </c>
      <c r="D76" s="13">
        <f t="shared" si="16"/>
        <v>183</v>
      </c>
      <c r="E76" s="37">
        <f>0</f>
        <v>0</v>
      </c>
      <c r="F76" s="37">
        <f t="shared" si="17"/>
        <v>183</v>
      </c>
      <c r="G76" s="37">
        <f>0</f>
        <v>0</v>
      </c>
      <c r="H76" s="17">
        <f t="shared" si="18"/>
        <v>80.92</v>
      </c>
      <c r="I76" s="17">
        <f t="shared" si="19"/>
        <v>-0.15500000000000114</v>
      </c>
      <c r="J76" s="19">
        <f t="shared" si="20"/>
        <v>1.9118100524206122E-3</v>
      </c>
      <c r="K76" s="35" t="s">
        <v>40</v>
      </c>
    </row>
    <row r="77" spans="1:11" ht="15">
      <c r="A77" s="7">
        <v>70</v>
      </c>
      <c r="B77" s="9">
        <f t="shared" si="14"/>
        <v>82.25</v>
      </c>
      <c r="C77" s="11">
        <f t="shared" si="15"/>
        <v>184.82870237754224</v>
      </c>
      <c r="D77" s="13">
        <f t="shared" si="16"/>
        <v>185</v>
      </c>
      <c r="E77" s="37">
        <f>0</f>
        <v>0</v>
      </c>
      <c r="F77" s="37">
        <f t="shared" si="17"/>
        <v>185</v>
      </c>
      <c r="G77" s="37">
        <f>0</f>
        <v>0</v>
      </c>
      <c r="H77" s="17">
        <f t="shared" si="18"/>
        <v>82.374583333333334</v>
      </c>
      <c r="I77" s="17">
        <f t="shared" si="19"/>
        <v>0.12458333333333371</v>
      </c>
      <c r="J77" s="19">
        <f t="shared" si="20"/>
        <v>1.5146909827760938E-3</v>
      </c>
      <c r="K77" s="35" t="s">
        <v>40</v>
      </c>
    </row>
    <row r="78" spans="1:11" ht="15">
      <c r="A78" s="7">
        <v>71</v>
      </c>
      <c r="B78" s="9">
        <f t="shared" si="14"/>
        <v>83.424999999999997</v>
      </c>
      <c r="C78" s="11">
        <f t="shared" si="15"/>
        <v>186.44428530507017</v>
      </c>
      <c r="D78" s="13">
        <f t="shared" si="16"/>
        <v>186</v>
      </c>
      <c r="E78" s="37">
        <f>0</f>
        <v>0</v>
      </c>
      <c r="F78" s="37">
        <f t="shared" si="17"/>
        <v>186</v>
      </c>
      <c r="G78" s="37">
        <f>0</f>
        <v>0</v>
      </c>
      <c r="H78" s="17">
        <f t="shared" si="18"/>
        <v>83.101875000000007</v>
      </c>
      <c r="I78" s="17">
        <f t="shared" si="19"/>
        <v>-0.32312499999999034</v>
      </c>
      <c r="J78" s="19">
        <f t="shared" si="20"/>
        <v>3.8732394366196026E-3</v>
      </c>
      <c r="K78" s="35" t="s">
        <v>40</v>
      </c>
    </row>
    <row r="79" spans="1:11" ht="15">
      <c r="A79" s="7">
        <v>72</v>
      </c>
      <c r="B79" s="9">
        <f t="shared" si="14"/>
        <v>84.600000000000009</v>
      </c>
      <c r="C79" s="11">
        <f t="shared" si="15"/>
        <v>188.05986823259812</v>
      </c>
      <c r="D79" s="13">
        <f t="shared" si="16"/>
        <v>188</v>
      </c>
      <c r="E79" s="37">
        <f>0</f>
        <v>0</v>
      </c>
      <c r="F79" s="37">
        <f t="shared" si="17"/>
        <v>188</v>
      </c>
      <c r="G79" s="37">
        <f>0</f>
        <v>0</v>
      </c>
      <c r="H79" s="17">
        <f t="shared" si="18"/>
        <v>84.556458333333339</v>
      </c>
      <c r="I79" s="17">
        <f t="shared" si="19"/>
        <v>-4.3541666666669698E-2</v>
      </c>
      <c r="J79" s="19">
        <f t="shared" si="20"/>
        <v>5.1467691095354246E-4</v>
      </c>
      <c r="K79" s="35" t="s">
        <v>40</v>
      </c>
    </row>
    <row r="80" spans="1:11" ht="15">
      <c r="A80" s="7">
        <v>73</v>
      </c>
      <c r="B80" s="9">
        <f t="shared" si="14"/>
        <v>85.775000000000006</v>
      </c>
      <c r="C80" s="11">
        <f t="shared" si="15"/>
        <v>189.67545116012604</v>
      </c>
      <c r="D80" s="13">
        <f t="shared" si="16"/>
        <v>190</v>
      </c>
      <c r="E80" s="37">
        <f>0</f>
        <v>0</v>
      </c>
      <c r="F80" s="37">
        <f t="shared" si="17"/>
        <v>190</v>
      </c>
      <c r="G80" s="37">
        <f>0</f>
        <v>0</v>
      </c>
      <c r="H80" s="17">
        <f t="shared" si="18"/>
        <v>86.011041666666671</v>
      </c>
      <c r="I80" s="17">
        <f t="shared" si="19"/>
        <v>0.23604166666666515</v>
      </c>
      <c r="J80" s="19">
        <f t="shared" si="20"/>
        <v>2.7518702030505989E-3</v>
      </c>
      <c r="K80" s="35" t="s">
        <v>40</v>
      </c>
    </row>
    <row r="81" spans="1:11" ht="15">
      <c r="A81" s="7">
        <v>74</v>
      </c>
      <c r="B81" s="9">
        <f t="shared" si="14"/>
        <v>86.95</v>
      </c>
      <c r="C81" s="11">
        <f t="shared" si="15"/>
        <v>191.23159334397081</v>
      </c>
      <c r="D81" s="13">
        <f t="shared" si="16"/>
        <v>191</v>
      </c>
      <c r="E81" s="37">
        <f>0</f>
        <v>0</v>
      </c>
      <c r="F81" s="37">
        <f t="shared" si="17"/>
        <v>191</v>
      </c>
      <c r="G81" s="37">
        <f>0</f>
        <v>0</v>
      </c>
      <c r="H81" s="17">
        <f t="shared" si="18"/>
        <v>86.738333333333344</v>
      </c>
      <c r="I81" s="17">
        <f t="shared" si="19"/>
        <v>-0.2116666666666589</v>
      </c>
      <c r="J81" s="19">
        <f t="shared" si="20"/>
        <v>2.4343492428597919E-3</v>
      </c>
      <c r="K81" s="35" t="s">
        <v>40</v>
      </c>
    </row>
    <row r="82" spans="1:11" ht="15">
      <c r="A82" s="7">
        <v>75</v>
      </c>
      <c r="B82" s="9">
        <f t="shared" si="14"/>
        <v>88.125</v>
      </c>
      <c r="C82" s="11">
        <f t="shared" si="15"/>
        <v>192.5172099384545</v>
      </c>
      <c r="D82" s="13">
        <f t="shared" si="16"/>
        <v>193</v>
      </c>
      <c r="E82" s="37">
        <f>0</f>
        <v>0</v>
      </c>
      <c r="F82" s="37">
        <f t="shared" si="17"/>
        <v>193</v>
      </c>
      <c r="G82" s="37">
        <f>0</f>
        <v>0</v>
      </c>
      <c r="H82" s="17">
        <f t="shared" si="18"/>
        <v>88.566250000000011</v>
      </c>
      <c r="I82" s="17">
        <f t="shared" si="19"/>
        <v>0.4412500000000108</v>
      </c>
      <c r="J82" s="19">
        <f t="shared" si="20"/>
        <v>5.0070921985816827E-3</v>
      </c>
      <c r="K82" s="35" t="s">
        <v>40</v>
      </c>
    </row>
    <row r="83" spans="1:11" ht="15">
      <c r="A83" s="7">
        <v>76</v>
      </c>
      <c r="B83" s="9">
        <f t="shared" si="14"/>
        <v>89.3</v>
      </c>
      <c r="C83" s="11">
        <f t="shared" si="15"/>
        <v>193.80282653293821</v>
      </c>
      <c r="D83" s="13">
        <f t="shared" si="16"/>
        <v>194</v>
      </c>
      <c r="E83" s="37">
        <f>0</f>
        <v>0</v>
      </c>
      <c r="F83" s="37">
        <f t="shared" si="17"/>
        <v>194</v>
      </c>
      <c r="G83" s="37">
        <f>0</f>
        <v>0</v>
      </c>
      <c r="H83" s="17">
        <f t="shared" si="18"/>
        <v>89.480208333333337</v>
      </c>
      <c r="I83" s="17">
        <f t="shared" si="19"/>
        <v>0.18020833333333997</v>
      </c>
      <c r="J83" s="19">
        <f t="shared" si="20"/>
        <v>2.0180104516611418E-3</v>
      </c>
      <c r="K83" s="35" t="s">
        <v>40</v>
      </c>
    </row>
    <row r="84" spans="1:11" ht="15">
      <c r="A84" s="7">
        <v>77</v>
      </c>
      <c r="B84" s="9">
        <f t="shared" si="14"/>
        <v>90.475000000000009</v>
      </c>
      <c r="C84" s="11">
        <f t="shared" si="15"/>
        <v>195.08844312742193</v>
      </c>
      <c r="D84" s="13">
        <f t="shared" si="16"/>
        <v>195</v>
      </c>
      <c r="E84" s="37">
        <f>0</f>
        <v>0</v>
      </c>
      <c r="F84" s="37">
        <f t="shared" si="17"/>
        <v>195</v>
      </c>
      <c r="G84" s="37">
        <f>0</f>
        <v>0</v>
      </c>
      <c r="H84" s="17">
        <f t="shared" si="18"/>
        <v>90.394166666666678</v>
      </c>
      <c r="I84" s="17">
        <f t="shared" si="19"/>
        <v>-8.083333333333087E-2</v>
      </c>
      <c r="J84" s="19">
        <f t="shared" si="20"/>
        <v>8.93432808326398E-4</v>
      </c>
      <c r="K84" s="35" t="s">
        <v>40</v>
      </c>
    </row>
    <row r="85" spans="1:11" ht="15">
      <c r="A85" s="7">
        <v>78</v>
      </c>
      <c r="B85" s="9">
        <f t="shared" si="14"/>
        <v>91.65</v>
      </c>
      <c r="C85" s="11">
        <f t="shared" si="15"/>
        <v>196.37405972190561</v>
      </c>
      <c r="D85" s="13">
        <f t="shared" si="16"/>
        <v>196</v>
      </c>
      <c r="E85" s="37">
        <f>0</f>
        <v>0</v>
      </c>
      <c r="F85" s="37">
        <f t="shared" si="17"/>
        <v>196</v>
      </c>
      <c r="G85" s="37">
        <f>0</f>
        <v>0</v>
      </c>
      <c r="H85" s="17">
        <f t="shared" si="18"/>
        <v>91.308125000000018</v>
      </c>
      <c r="I85" s="17">
        <f t="shared" si="19"/>
        <v>-0.34187499999998749</v>
      </c>
      <c r="J85" s="19">
        <f t="shared" si="20"/>
        <v>3.730223677032051E-3</v>
      </c>
      <c r="K85" s="35" t="s">
        <v>40</v>
      </c>
    </row>
    <row r="86" spans="1:11" ht="15">
      <c r="A86" s="7">
        <v>79</v>
      </c>
      <c r="B86" s="9">
        <f t="shared" si="14"/>
        <v>92.825000000000003</v>
      </c>
      <c r="C86" s="11">
        <f t="shared" si="15"/>
        <v>197.65967631638932</v>
      </c>
      <c r="D86" s="13">
        <f t="shared" si="16"/>
        <v>198</v>
      </c>
      <c r="E86" s="37">
        <f>0</f>
        <v>0</v>
      </c>
      <c r="F86" s="37">
        <f t="shared" si="17"/>
        <v>198</v>
      </c>
      <c r="G86" s="37">
        <f>0</f>
        <v>0</v>
      </c>
      <c r="H86" s="17">
        <f t="shared" si="18"/>
        <v>93.136041666666671</v>
      </c>
      <c r="I86" s="17">
        <f t="shared" si="19"/>
        <v>0.31104166666666799</v>
      </c>
      <c r="J86" s="19">
        <f t="shared" si="20"/>
        <v>3.3508393931232748E-3</v>
      </c>
      <c r="K86" s="35" t="s">
        <v>40</v>
      </c>
    </row>
    <row r="87" spans="1:11" ht="15">
      <c r="A87" s="7">
        <v>80</v>
      </c>
      <c r="B87" s="9">
        <f t="shared" si="14"/>
        <v>94</v>
      </c>
      <c r="C87" s="11">
        <f t="shared" si="15"/>
        <v>198.94529291087304</v>
      </c>
      <c r="D87" s="13">
        <f t="shared" si="16"/>
        <v>199</v>
      </c>
      <c r="E87" s="37">
        <f>0</f>
        <v>0</v>
      </c>
      <c r="F87" s="37">
        <f t="shared" si="17"/>
        <v>199</v>
      </c>
      <c r="G87" s="37">
        <f>0</f>
        <v>0</v>
      </c>
      <c r="H87" s="17">
        <f t="shared" si="18"/>
        <v>94.050000000000011</v>
      </c>
      <c r="I87" s="17">
        <f t="shared" si="19"/>
        <v>5.0000000000011369E-2</v>
      </c>
      <c r="J87" s="19">
        <f t="shared" si="20"/>
        <v>5.3191489361714217E-4</v>
      </c>
      <c r="K87" s="35" t="s">
        <v>40</v>
      </c>
    </row>
    <row r="88" spans="1:11" ht="15">
      <c r="A88" s="7">
        <v>81</v>
      </c>
      <c r="B88" s="9">
        <f t="shared" si="14"/>
        <v>95.174999999999997</v>
      </c>
      <c r="C88" s="11">
        <f t="shared" si="15"/>
        <v>200.23090950535672</v>
      </c>
      <c r="D88" s="13">
        <f t="shared" si="16"/>
        <v>200</v>
      </c>
      <c r="E88" s="37">
        <f>0</f>
        <v>0</v>
      </c>
      <c r="F88" s="37">
        <f t="shared" si="17"/>
        <v>200</v>
      </c>
      <c r="G88" s="37">
        <f>0</f>
        <v>0</v>
      </c>
      <c r="H88" s="17">
        <f t="shared" si="18"/>
        <v>94.963958333333352</v>
      </c>
      <c r="I88" s="17">
        <f t="shared" si="19"/>
        <v>-0.21104166666664526</v>
      </c>
      <c r="J88" s="19">
        <f t="shared" si="20"/>
        <v>2.2174065318271109E-3</v>
      </c>
      <c r="K88" s="35" t="s">
        <v>40</v>
      </c>
    </row>
    <row r="89" spans="1:11" ht="15">
      <c r="A89" s="7">
        <v>82</v>
      </c>
      <c r="B89" s="9">
        <f t="shared" si="14"/>
        <v>96.350000000000009</v>
      </c>
      <c r="C89" s="11">
        <f t="shared" si="15"/>
        <v>201.51652609984043</v>
      </c>
      <c r="D89" s="13">
        <f t="shared" si="16"/>
        <v>202</v>
      </c>
      <c r="E89" s="37">
        <f>0</f>
        <v>0</v>
      </c>
      <c r="F89" s="37">
        <f t="shared" si="17"/>
        <v>202</v>
      </c>
      <c r="G89" s="37">
        <f>0</f>
        <v>0</v>
      </c>
      <c r="H89" s="17">
        <f t="shared" si="18"/>
        <v>96.791875000000005</v>
      </c>
      <c r="I89" s="17">
        <f t="shared" si="19"/>
        <v>0.44187499999999602</v>
      </c>
      <c r="J89" s="19">
        <f t="shared" si="20"/>
        <v>4.5861442656979345E-3</v>
      </c>
      <c r="K89" s="35" t="s">
        <v>40</v>
      </c>
    </row>
    <row r="90" spans="1:11" ht="15">
      <c r="A90" s="7">
        <v>83</v>
      </c>
      <c r="B90" s="9">
        <f t="shared" si="14"/>
        <v>97.525000000000006</v>
      </c>
      <c r="C90" s="11">
        <f t="shared" si="15"/>
        <v>202.80214269432412</v>
      </c>
      <c r="D90" s="13">
        <f t="shared" si="16"/>
        <v>203</v>
      </c>
      <c r="E90" s="37">
        <f>0</f>
        <v>0</v>
      </c>
      <c r="F90" s="37">
        <f t="shared" si="17"/>
        <v>203</v>
      </c>
      <c r="G90" s="37">
        <f>0</f>
        <v>0</v>
      </c>
      <c r="H90" s="17">
        <f t="shared" si="18"/>
        <v>97.705833333333345</v>
      </c>
      <c r="I90" s="17">
        <f t="shared" si="19"/>
        <v>0.1808333333333394</v>
      </c>
      <c r="J90" s="19">
        <f t="shared" si="20"/>
        <v>1.8542254122875098E-3</v>
      </c>
      <c r="K90" s="35" t="s">
        <v>40</v>
      </c>
    </row>
    <row r="91" spans="1:11" ht="15">
      <c r="A91" s="7">
        <v>84</v>
      </c>
      <c r="B91" s="9">
        <f t="shared" si="14"/>
        <v>98.7</v>
      </c>
      <c r="C91" s="11">
        <f t="shared" si="15"/>
        <v>204.08775928880783</v>
      </c>
      <c r="D91" s="13">
        <f t="shared" si="16"/>
        <v>204</v>
      </c>
      <c r="E91" s="37">
        <f>0</f>
        <v>0</v>
      </c>
      <c r="F91" s="37">
        <f t="shared" si="17"/>
        <v>204</v>
      </c>
      <c r="G91" s="37">
        <f>0</f>
        <v>0</v>
      </c>
      <c r="H91" s="17">
        <f t="shared" si="18"/>
        <v>98.619791666666686</v>
      </c>
      <c r="I91" s="17">
        <f t="shared" si="19"/>
        <v>-8.0208333333317228E-2</v>
      </c>
      <c r="J91" s="19">
        <f t="shared" si="20"/>
        <v>8.1264775413695265E-4</v>
      </c>
      <c r="K91" s="35" t="s">
        <v>40</v>
      </c>
    </row>
    <row r="92" spans="1:11" ht="15">
      <c r="A92" s="7">
        <v>85</v>
      </c>
      <c r="B92" s="9">
        <f t="shared" si="14"/>
        <v>99.875</v>
      </c>
      <c r="C92" s="11">
        <f t="shared" si="15"/>
        <v>205.37337588329154</v>
      </c>
      <c r="D92" s="13">
        <f t="shared" si="16"/>
        <v>205</v>
      </c>
      <c r="E92" s="37">
        <f>0</f>
        <v>0</v>
      </c>
      <c r="F92" s="37">
        <f t="shared" si="17"/>
        <v>205</v>
      </c>
      <c r="G92" s="37">
        <f>0</f>
        <v>0</v>
      </c>
      <c r="H92" s="17">
        <f t="shared" si="18"/>
        <v>99.533750000000012</v>
      </c>
      <c r="I92" s="17">
        <f t="shared" si="19"/>
        <v>-0.34124999999998806</v>
      </c>
      <c r="J92" s="19">
        <f t="shared" si="20"/>
        <v>3.4167709637045111E-3</v>
      </c>
      <c r="K92" s="35" t="s">
        <v>40</v>
      </c>
    </row>
    <row r="93" spans="1:11" ht="15">
      <c r="A93" s="7">
        <v>86</v>
      </c>
      <c r="B93" s="9">
        <f t="shared" si="14"/>
        <v>101.05</v>
      </c>
      <c r="C93" s="11">
        <f t="shared" si="15"/>
        <v>206.65899247777523</v>
      </c>
      <c r="D93" s="13">
        <f t="shared" si="16"/>
        <v>207</v>
      </c>
      <c r="E93" s="37">
        <f>0</f>
        <v>0</v>
      </c>
      <c r="F93" s="37">
        <f t="shared" si="17"/>
        <v>207</v>
      </c>
      <c r="G93" s="37">
        <f>0</f>
        <v>0</v>
      </c>
      <c r="H93" s="17">
        <f t="shared" si="18"/>
        <v>101.36166666666668</v>
      </c>
      <c r="I93" s="17">
        <f t="shared" si="19"/>
        <v>0.31166666666668164</v>
      </c>
      <c r="J93" s="19">
        <f t="shared" si="20"/>
        <v>3.0842817087252017E-3</v>
      </c>
      <c r="K93" s="35" t="s">
        <v>40</v>
      </c>
    </row>
    <row r="94" spans="1:11" ht="15">
      <c r="A94" s="7">
        <v>87</v>
      </c>
      <c r="B94" s="9">
        <f t="shared" si="14"/>
        <v>102.22500000000001</v>
      </c>
      <c r="C94" s="11">
        <f t="shared" si="15"/>
        <v>207.86396330657772</v>
      </c>
      <c r="D94" s="13">
        <f t="shared" si="16"/>
        <v>208</v>
      </c>
      <c r="E94" s="37">
        <f>0</f>
        <v>0</v>
      </c>
      <c r="F94" s="37">
        <f t="shared" si="17"/>
        <v>208</v>
      </c>
      <c r="G94" s="37">
        <f>0</f>
        <v>0</v>
      </c>
      <c r="H94" s="17">
        <f t="shared" si="18"/>
        <v>102.36093750000001</v>
      </c>
      <c r="I94" s="17">
        <f t="shared" si="19"/>
        <v>0.13593749999999716</v>
      </c>
      <c r="J94" s="19">
        <f t="shared" si="20"/>
        <v>1.3297872340425252E-3</v>
      </c>
      <c r="K94" s="35" t="s">
        <v>40</v>
      </c>
    </row>
    <row r="95" spans="1:11" ht="15">
      <c r="A95" s="7">
        <v>88</v>
      </c>
      <c r="B95" s="9">
        <f t="shared" si="14"/>
        <v>103.4</v>
      </c>
      <c r="C95" s="11">
        <f t="shared" si="15"/>
        <v>209.03982070259565</v>
      </c>
      <c r="D95" s="13">
        <f t="shared" si="16"/>
        <v>209</v>
      </c>
      <c r="E95" s="37">
        <f>0</f>
        <v>0</v>
      </c>
      <c r="F95" s="37">
        <f t="shared" si="17"/>
        <v>209</v>
      </c>
      <c r="G95" s="37">
        <f>0</f>
        <v>0</v>
      </c>
      <c r="H95" s="17">
        <f t="shared" si="18"/>
        <v>103.36020833333335</v>
      </c>
      <c r="I95" s="17">
        <f t="shared" si="19"/>
        <v>-3.9791666666658898E-2</v>
      </c>
      <c r="J95" s="19">
        <f t="shared" si="20"/>
        <v>3.848323662152698E-4</v>
      </c>
      <c r="K95" s="35" t="s">
        <v>40</v>
      </c>
    </row>
    <row r="96" spans="1:11" ht="15">
      <c r="A96" s="7">
        <v>89</v>
      </c>
      <c r="B96" s="9">
        <f t="shared" si="14"/>
        <v>104.575</v>
      </c>
      <c r="C96" s="11">
        <f t="shared" si="15"/>
        <v>210.21567809861358</v>
      </c>
      <c r="D96" s="13">
        <f t="shared" si="16"/>
        <v>210</v>
      </c>
      <c r="E96" s="37">
        <f>0</f>
        <v>0</v>
      </c>
      <c r="F96" s="37">
        <f t="shared" si="17"/>
        <v>210</v>
      </c>
      <c r="G96" s="37">
        <f>0</f>
        <v>0</v>
      </c>
      <c r="H96" s="17">
        <f t="shared" si="18"/>
        <v>104.35947916666667</v>
      </c>
      <c r="I96" s="17">
        <f t="shared" si="19"/>
        <v>-0.21552083333332916</v>
      </c>
      <c r="J96" s="19">
        <f t="shared" si="20"/>
        <v>2.0609211889393176E-3</v>
      </c>
      <c r="K96" s="35" t="s">
        <v>40</v>
      </c>
    </row>
    <row r="97" spans="1:11" ht="15">
      <c r="A97" s="7">
        <v>90</v>
      </c>
      <c r="B97" s="9">
        <f t="shared" si="14"/>
        <v>105.75</v>
      </c>
      <c r="C97" s="11">
        <f t="shared" si="15"/>
        <v>211.39153549463148</v>
      </c>
      <c r="D97" s="13">
        <f t="shared" si="16"/>
        <v>211</v>
      </c>
      <c r="E97" s="37">
        <f>0</f>
        <v>0</v>
      </c>
      <c r="F97" s="37">
        <f t="shared" si="17"/>
        <v>211</v>
      </c>
      <c r="G97" s="37">
        <f>0</f>
        <v>0</v>
      </c>
      <c r="H97" s="17">
        <f t="shared" si="18"/>
        <v>105.35875000000001</v>
      </c>
      <c r="I97" s="17">
        <f t="shared" si="19"/>
        <v>-0.39124999999998522</v>
      </c>
      <c r="J97" s="19">
        <f t="shared" si="20"/>
        <v>3.699763593380475E-3</v>
      </c>
      <c r="K97" s="35" t="s">
        <v>40</v>
      </c>
    </row>
    <row r="98" spans="1:11" ht="15">
      <c r="A98" s="7">
        <v>91</v>
      </c>
      <c r="B98" s="9">
        <f t="shared" si="14"/>
        <v>106.925</v>
      </c>
      <c r="C98" s="11">
        <f t="shared" si="15"/>
        <v>212.56739289064942</v>
      </c>
      <c r="D98" s="13">
        <f t="shared" si="16"/>
        <v>213</v>
      </c>
      <c r="E98" s="37">
        <f>0</f>
        <v>0</v>
      </c>
      <c r="F98" s="37">
        <f t="shared" si="17"/>
        <v>213</v>
      </c>
      <c r="G98" s="37">
        <f>0</f>
        <v>0</v>
      </c>
      <c r="H98" s="17">
        <f t="shared" si="18"/>
        <v>107.35729166666667</v>
      </c>
      <c r="I98" s="17">
        <f t="shared" si="19"/>
        <v>0.4322916666666714</v>
      </c>
      <c r="J98" s="19">
        <f t="shared" si="20"/>
        <v>4.0429428727301511E-3</v>
      </c>
      <c r="K98" s="35" t="s">
        <v>40</v>
      </c>
    </row>
    <row r="99" spans="1:11" ht="15">
      <c r="A99" s="7">
        <v>92</v>
      </c>
      <c r="B99" s="9">
        <f t="shared" si="14"/>
        <v>108.10000000000001</v>
      </c>
      <c r="C99" s="11">
        <f t="shared" si="15"/>
        <v>213.74325028666738</v>
      </c>
      <c r="D99" s="13">
        <f t="shared" si="16"/>
        <v>214</v>
      </c>
      <c r="E99" s="37">
        <f>0</f>
        <v>0</v>
      </c>
      <c r="F99" s="37">
        <f t="shared" si="17"/>
        <v>214</v>
      </c>
      <c r="G99" s="37">
        <f>0</f>
        <v>0</v>
      </c>
      <c r="H99" s="17">
        <f t="shared" si="18"/>
        <v>108.35656250000001</v>
      </c>
      <c r="I99" s="17">
        <f t="shared" si="19"/>
        <v>0.25656250000000114</v>
      </c>
      <c r="J99" s="19">
        <f t="shared" si="20"/>
        <v>2.3733811285846541E-3</v>
      </c>
      <c r="K99" s="35" t="s">
        <v>40</v>
      </c>
    </row>
    <row r="100" spans="1:11" ht="15">
      <c r="A100" s="7">
        <v>93</v>
      </c>
      <c r="B100" s="9">
        <f t="shared" si="14"/>
        <v>109.27500000000001</v>
      </c>
      <c r="C100" s="11">
        <f t="shared" si="15"/>
        <v>214.91910768268531</v>
      </c>
      <c r="D100" s="13">
        <f t="shared" si="16"/>
        <v>215</v>
      </c>
      <c r="E100" s="37">
        <f>0</f>
        <v>0</v>
      </c>
      <c r="F100" s="37">
        <f t="shared" si="17"/>
        <v>215</v>
      </c>
      <c r="G100" s="37">
        <f>0</f>
        <v>0</v>
      </c>
      <c r="H100" s="17">
        <f t="shared" si="18"/>
        <v>109.35583333333334</v>
      </c>
      <c r="I100" s="17">
        <f t="shared" si="19"/>
        <v>8.083333333333087E-2</v>
      </c>
      <c r="J100" s="19">
        <f t="shared" si="20"/>
        <v>7.3972393807669517E-4</v>
      </c>
      <c r="K100" s="35" t="s">
        <v>40</v>
      </c>
    </row>
    <row r="101" spans="1:11" ht="15">
      <c r="A101" s="7">
        <v>94</v>
      </c>
      <c r="B101" s="9">
        <f t="shared" si="14"/>
        <v>110.45</v>
      </c>
      <c r="C101" s="11">
        <f t="shared" si="15"/>
        <v>216.09496507870321</v>
      </c>
      <c r="D101" s="13">
        <f t="shared" si="16"/>
        <v>216</v>
      </c>
      <c r="E101" s="37">
        <f>0</f>
        <v>0</v>
      </c>
      <c r="F101" s="37">
        <f t="shared" si="17"/>
        <v>216</v>
      </c>
      <c r="G101" s="37">
        <f>0</f>
        <v>0</v>
      </c>
      <c r="H101" s="17">
        <f t="shared" si="18"/>
        <v>110.35510416666666</v>
      </c>
      <c r="I101" s="17">
        <f t="shared" si="19"/>
        <v>-9.4895833333339397E-2</v>
      </c>
      <c r="J101" s="19">
        <f t="shared" si="20"/>
        <v>8.5917458880343503E-4</v>
      </c>
      <c r="K101" s="35" t="s">
        <v>40</v>
      </c>
    </row>
    <row r="102" spans="1:11" ht="15">
      <c r="A102" s="7">
        <v>95</v>
      </c>
      <c r="B102" s="9">
        <f t="shared" si="14"/>
        <v>111.625</v>
      </c>
      <c r="C102" s="11">
        <f t="shared" si="15"/>
        <v>217.27082247472114</v>
      </c>
      <c r="D102" s="13">
        <f t="shared" si="16"/>
        <v>217</v>
      </c>
      <c r="E102" s="37">
        <f>0</f>
        <v>0</v>
      </c>
      <c r="F102" s="37">
        <f t="shared" si="17"/>
        <v>217</v>
      </c>
      <c r="G102" s="37">
        <f>0</f>
        <v>0</v>
      </c>
      <c r="H102" s="17">
        <f t="shared" si="18"/>
        <v>111.354375</v>
      </c>
      <c r="I102" s="17">
        <f t="shared" si="19"/>
        <v>-0.27062499999999545</v>
      </c>
      <c r="J102" s="19">
        <f t="shared" si="20"/>
        <v>2.424412094064909E-3</v>
      </c>
      <c r="K102" s="35" t="s">
        <v>40</v>
      </c>
    </row>
    <row r="103" spans="1:11" ht="15">
      <c r="A103" s="7">
        <v>96</v>
      </c>
      <c r="B103" s="9">
        <f t="shared" ref="B103:B134" si="21">MIN(A103*$I$3,$C$3)</f>
        <v>112.80000000000001</v>
      </c>
      <c r="C103" s="11">
        <f t="shared" ref="C103:C134" si="22">IF(B103&lt;=0,0,IF(B103&gt;=$C$3,255,INDEX($L$7:$L$23,MATCH(B103,$M$7:$M$23,1))+(B103-INDEX($M$7:$M$23,MATCH(B103,$M$7:$M$23,1)))*(INDEX($L$7:$L$23,MATCH(B103,$M$7:$M$23,1)+1)-INDEX($L$7:$L$23,MATCH(B103,$M$7:$M$23,1)))/(INDEX($M$7:$M$23,MATCH(B103,$M$7:$M$23,1)+1)-INDEX($M$7:$M$23,MATCH(B103,$M$7:$M$23,1)))))</f>
        <v>218.4466798707391</v>
      </c>
      <c r="D103" s="13">
        <f t="shared" ref="D103:D134" si="23">ROUND(C103,0)</f>
        <v>218</v>
      </c>
      <c r="E103" s="37">
        <f>0</f>
        <v>0</v>
      </c>
      <c r="F103" s="37">
        <f t="shared" ref="F103:F134" si="24">D103</f>
        <v>218</v>
      </c>
      <c r="G103" s="37">
        <f>0</f>
        <v>0</v>
      </c>
      <c r="H103" s="17">
        <f t="shared" ref="H103:H134" si="25">IF(D103&lt;=0,0,IF(D103&gt;=255,$C$3,INDEX($M$7:$M$23,MATCH(D103,$L$7:$L$23,1))+(D103-INDEX($L$7:$L$23,MATCH(D103,$L$7:$L$23,1)))*(INDEX($M$7:$M$23,MATCH(D103,$L$7:$L$23,1)+1)-INDEX($M$7:$M$23,MATCH(D103,$L$7:$L$23,1)))/(INDEX($L$7:$L$23,MATCH(D103,$L$7:$L$23,1)+1)-INDEX($L$7:$L$23,MATCH(D103,$L$7:$L$23,1)))))</f>
        <v>112.35364583333333</v>
      </c>
      <c r="I103" s="17">
        <f t="shared" ref="I103:I134" si="26">H103-B103</f>
        <v>-0.44635416666667993</v>
      </c>
      <c r="J103" s="19">
        <f t="shared" ref="J103:J134" si="27">IF(B103=0,0,ABS(I103/B103))</f>
        <v>3.9570404846336867E-3</v>
      </c>
      <c r="K103" s="35" t="s">
        <v>40</v>
      </c>
    </row>
    <row r="104" spans="1:11" ht="15">
      <c r="A104" s="7">
        <v>97</v>
      </c>
      <c r="B104" s="9">
        <f t="shared" si="21"/>
        <v>113.97500000000001</v>
      </c>
      <c r="C104" s="11">
        <f t="shared" si="22"/>
        <v>219.62253726675704</v>
      </c>
      <c r="D104" s="13">
        <f t="shared" si="23"/>
        <v>220</v>
      </c>
      <c r="E104" s="37">
        <f>0</f>
        <v>0</v>
      </c>
      <c r="F104" s="37">
        <f t="shared" si="24"/>
        <v>220</v>
      </c>
      <c r="G104" s="37">
        <f>0</f>
        <v>0</v>
      </c>
      <c r="H104" s="17">
        <f t="shared" si="25"/>
        <v>114.3521875</v>
      </c>
      <c r="I104" s="17">
        <f t="shared" si="26"/>
        <v>0.37718749999999091</v>
      </c>
      <c r="J104" s="19">
        <f t="shared" si="27"/>
        <v>3.3093880236893256E-3</v>
      </c>
      <c r="K104" s="35" t="s">
        <v>40</v>
      </c>
    </row>
    <row r="105" spans="1:11" ht="15">
      <c r="A105" s="7">
        <v>98</v>
      </c>
      <c r="B105" s="9">
        <f t="shared" si="21"/>
        <v>115.15</v>
      </c>
      <c r="C105" s="11">
        <f t="shared" si="22"/>
        <v>220.79839466277494</v>
      </c>
      <c r="D105" s="13">
        <f t="shared" si="23"/>
        <v>221</v>
      </c>
      <c r="E105" s="37">
        <f>0</f>
        <v>0</v>
      </c>
      <c r="F105" s="37">
        <f t="shared" si="24"/>
        <v>221</v>
      </c>
      <c r="G105" s="37">
        <f>0</f>
        <v>0</v>
      </c>
      <c r="H105" s="17">
        <f t="shared" si="25"/>
        <v>115.35145833333333</v>
      </c>
      <c r="I105" s="17">
        <f t="shared" si="26"/>
        <v>0.20145833333332064</v>
      </c>
      <c r="J105" s="19">
        <f t="shared" si="27"/>
        <v>1.7495295990735617E-3</v>
      </c>
      <c r="K105" s="35" t="s">
        <v>40</v>
      </c>
    </row>
    <row r="106" spans="1:11" ht="15">
      <c r="A106" s="7">
        <v>99</v>
      </c>
      <c r="B106" s="9">
        <f t="shared" si="21"/>
        <v>116.325</v>
      </c>
      <c r="C106" s="11">
        <f t="shared" si="22"/>
        <v>221.97425205879287</v>
      </c>
      <c r="D106" s="13">
        <f t="shared" si="23"/>
        <v>222</v>
      </c>
      <c r="E106" s="37">
        <f>0</f>
        <v>0</v>
      </c>
      <c r="F106" s="37">
        <f t="shared" si="24"/>
        <v>222</v>
      </c>
      <c r="G106" s="37">
        <f>0</f>
        <v>0</v>
      </c>
      <c r="H106" s="17">
        <f t="shared" si="25"/>
        <v>116.35072916666667</v>
      </c>
      <c r="I106" s="17">
        <f t="shared" si="26"/>
        <v>2.5729166666664582E-2</v>
      </c>
      <c r="J106" s="19">
        <f t="shared" si="27"/>
        <v>2.21183465864299E-4</v>
      </c>
      <c r="K106" s="35" t="s">
        <v>40</v>
      </c>
    </row>
    <row r="107" spans="1:11" ht="15">
      <c r="A107" s="7">
        <v>100</v>
      </c>
      <c r="B107" s="9">
        <f t="shared" si="21"/>
        <v>117.5</v>
      </c>
      <c r="C107" s="11">
        <f t="shared" si="22"/>
        <v>223.16551724137932</v>
      </c>
      <c r="D107" s="13">
        <f t="shared" si="23"/>
        <v>223</v>
      </c>
      <c r="E107" s="37">
        <f>0</f>
        <v>0</v>
      </c>
      <c r="F107" s="37">
        <f t="shared" si="24"/>
        <v>223</v>
      </c>
      <c r="G107" s="37">
        <f>0</f>
        <v>0</v>
      </c>
      <c r="H107" s="17">
        <f t="shared" si="25"/>
        <v>117.35</v>
      </c>
      <c r="I107" s="17">
        <f t="shared" si="26"/>
        <v>-0.15000000000000568</v>
      </c>
      <c r="J107" s="19">
        <f t="shared" si="27"/>
        <v>1.2765957446808994E-3</v>
      </c>
      <c r="K107" s="35" t="s">
        <v>40</v>
      </c>
    </row>
    <row r="108" spans="1:11" ht="15">
      <c r="A108" s="7">
        <v>101</v>
      </c>
      <c r="B108" s="9">
        <f t="shared" si="21"/>
        <v>118.67500000000001</v>
      </c>
      <c r="C108" s="11">
        <f t="shared" si="22"/>
        <v>224.46206896551726</v>
      </c>
      <c r="D108" s="13">
        <f t="shared" si="23"/>
        <v>224</v>
      </c>
      <c r="E108" s="37">
        <f>0</f>
        <v>0</v>
      </c>
      <c r="F108" s="37">
        <f t="shared" si="24"/>
        <v>224</v>
      </c>
      <c r="G108" s="37">
        <f>0</f>
        <v>0</v>
      </c>
      <c r="H108" s="17">
        <f t="shared" si="25"/>
        <v>118.25624999999999</v>
      </c>
      <c r="I108" s="17">
        <f t="shared" si="26"/>
        <v>-0.41875000000001705</v>
      </c>
      <c r="J108" s="19">
        <f t="shared" si="27"/>
        <v>3.5285443437962252E-3</v>
      </c>
      <c r="K108" s="35" t="s">
        <v>40</v>
      </c>
    </row>
    <row r="109" spans="1:11" ht="15">
      <c r="A109" s="7">
        <v>102</v>
      </c>
      <c r="B109" s="9">
        <f t="shared" si="21"/>
        <v>119.85000000000001</v>
      </c>
      <c r="C109" s="11">
        <f t="shared" si="22"/>
        <v>225.75862068965517</v>
      </c>
      <c r="D109" s="13">
        <f t="shared" si="23"/>
        <v>226</v>
      </c>
      <c r="E109" s="37">
        <f>0</f>
        <v>0</v>
      </c>
      <c r="F109" s="37">
        <f t="shared" si="24"/>
        <v>226</v>
      </c>
      <c r="G109" s="37">
        <f>0</f>
        <v>0</v>
      </c>
      <c r="H109" s="17">
        <f t="shared" si="25"/>
        <v>120.06874999999999</v>
      </c>
      <c r="I109" s="17">
        <f t="shared" si="26"/>
        <v>0.21874999999998579</v>
      </c>
      <c r="J109" s="19">
        <f t="shared" si="27"/>
        <v>1.8251981643720131E-3</v>
      </c>
      <c r="K109" s="35" t="s">
        <v>40</v>
      </c>
    </row>
    <row r="110" spans="1:11" ht="15">
      <c r="A110" s="7">
        <v>103</v>
      </c>
      <c r="B110" s="9">
        <f t="shared" si="21"/>
        <v>121.02500000000001</v>
      </c>
      <c r="C110" s="11">
        <f t="shared" si="22"/>
        <v>227.05517241379312</v>
      </c>
      <c r="D110" s="13">
        <f t="shared" si="23"/>
        <v>227</v>
      </c>
      <c r="E110" s="37">
        <f>0</f>
        <v>0</v>
      </c>
      <c r="F110" s="37">
        <f t="shared" si="24"/>
        <v>227</v>
      </c>
      <c r="G110" s="37">
        <f>0</f>
        <v>0</v>
      </c>
      <c r="H110" s="17">
        <f t="shared" si="25"/>
        <v>120.97499999999999</v>
      </c>
      <c r="I110" s="17">
        <f t="shared" si="26"/>
        <v>-5.0000000000011369E-2</v>
      </c>
      <c r="J110" s="19">
        <f t="shared" si="27"/>
        <v>4.1313778145020755E-4</v>
      </c>
      <c r="K110" s="35" t="s">
        <v>40</v>
      </c>
    </row>
    <row r="111" spans="1:11" ht="15">
      <c r="A111" s="7">
        <v>104</v>
      </c>
      <c r="B111" s="9">
        <f t="shared" si="21"/>
        <v>122.2</v>
      </c>
      <c r="C111" s="11">
        <f t="shared" si="22"/>
        <v>228.35172413793106</v>
      </c>
      <c r="D111" s="13">
        <f t="shared" si="23"/>
        <v>228</v>
      </c>
      <c r="E111" s="37">
        <f>0</f>
        <v>0</v>
      </c>
      <c r="F111" s="37">
        <f t="shared" si="24"/>
        <v>228</v>
      </c>
      <c r="G111" s="37">
        <f>0</f>
        <v>0</v>
      </c>
      <c r="H111" s="17">
        <f t="shared" si="25"/>
        <v>121.88124999999999</v>
      </c>
      <c r="I111" s="17">
        <f t="shared" si="26"/>
        <v>-0.31875000000000853</v>
      </c>
      <c r="J111" s="19">
        <f t="shared" si="27"/>
        <v>2.6084288052373858E-3</v>
      </c>
      <c r="K111" s="35" t="s">
        <v>40</v>
      </c>
    </row>
    <row r="112" spans="1:11" ht="15">
      <c r="A112" s="7">
        <v>105</v>
      </c>
      <c r="B112" s="9">
        <f t="shared" si="21"/>
        <v>123.375</v>
      </c>
      <c r="C112" s="11">
        <f t="shared" si="22"/>
        <v>229.64827586206897</v>
      </c>
      <c r="D112" s="13">
        <f t="shared" si="23"/>
        <v>230</v>
      </c>
      <c r="E112" s="37">
        <f>0</f>
        <v>0</v>
      </c>
      <c r="F112" s="37">
        <f t="shared" si="24"/>
        <v>230</v>
      </c>
      <c r="G112" s="37">
        <f>0</f>
        <v>0</v>
      </c>
      <c r="H112" s="17">
        <f t="shared" si="25"/>
        <v>123.69374999999999</v>
      </c>
      <c r="I112" s="17">
        <f t="shared" si="26"/>
        <v>0.31874999999999432</v>
      </c>
      <c r="J112" s="19">
        <f t="shared" si="27"/>
        <v>2.5835866261397717E-3</v>
      </c>
      <c r="K112" s="35" t="s">
        <v>40</v>
      </c>
    </row>
    <row r="113" spans="1:11" ht="15">
      <c r="A113" s="7">
        <v>106</v>
      </c>
      <c r="B113" s="9">
        <f t="shared" si="21"/>
        <v>124.55000000000001</v>
      </c>
      <c r="C113" s="11">
        <f t="shared" si="22"/>
        <v>230.94482758620691</v>
      </c>
      <c r="D113" s="13">
        <f t="shared" si="23"/>
        <v>231</v>
      </c>
      <c r="E113" s="37">
        <f>0</f>
        <v>0</v>
      </c>
      <c r="F113" s="37">
        <f t="shared" si="24"/>
        <v>231</v>
      </c>
      <c r="G113" s="37">
        <f>0</f>
        <v>0</v>
      </c>
      <c r="H113" s="17">
        <f t="shared" si="25"/>
        <v>124.6</v>
      </c>
      <c r="I113" s="17">
        <f t="shared" si="26"/>
        <v>4.9999999999982947E-2</v>
      </c>
      <c r="J113" s="19">
        <f t="shared" si="27"/>
        <v>4.0144520272969041E-4</v>
      </c>
      <c r="K113" s="35" t="s">
        <v>40</v>
      </c>
    </row>
    <row r="114" spans="1:11" ht="15">
      <c r="A114" s="7">
        <v>107</v>
      </c>
      <c r="B114" s="9">
        <f t="shared" si="21"/>
        <v>125.72500000000001</v>
      </c>
      <c r="C114" s="11">
        <f t="shared" si="22"/>
        <v>232.24137931034485</v>
      </c>
      <c r="D114" s="13">
        <f t="shared" si="23"/>
        <v>232</v>
      </c>
      <c r="E114" s="37">
        <f>0</f>
        <v>0</v>
      </c>
      <c r="F114" s="37">
        <f t="shared" si="24"/>
        <v>232</v>
      </c>
      <c r="G114" s="37">
        <f>0</f>
        <v>0</v>
      </c>
      <c r="H114" s="17">
        <f t="shared" si="25"/>
        <v>125.50624999999999</v>
      </c>
      <c r="I114" s="17">
        <f t="shared" si="26"/>
        <v>-0.21875000000001421</v>
      </c>
      <c r="J114" s="19">
        <f t="shared" si="27"/>
        <v>1.7399085305230798E-3</v>
      </c>
      <c r="K114" s="35" t="s">
        <v>40</v>
      </c>
    </row>
    <row r="115" spans="1:11" ht="15">
      <c r="A115" s="7">
        <v>108</v>
      </c>
      <c r="B115" s="9">
        <f t="shared" si="21"/>
        <v>126.9</v>
      </c>
      <c r="C115" s="11">
        <f t="shared" si="22"/>
        <v>233.53793103448277</v>
      </c>
      <c r="D115" s="13">
        <f t="shared" si="23"/>
        <v>234</v>
      </c>
      <c r="E115" s="37">
        <f>0</f>
        <v>0</v>
      </c>
      <c r="F115" s="37">
        <f t="shared" si="24"/>
        <v>234</v>
      </c>
      <c r="G115" s="37">
        <f>0</f>
        <v>0</v>
      </c>
      <c r="H115" s="17">
        <f t="shared" si="25"/>
        <v>127.31874999999999</v>
      </c>
      <c r="I115" s="17">
        <f t="shared" si="26"/>
        <v>0.41874999999998863</v>
      </c>
      <c r="J115" s="19">
        <f t="shared" si="27"/>
        <v>3.2998423955869867E-3</v>
      </c>
      <c r="K115" s="35" t="s">
        <v>40</v>
      </c>
    </row>
    <row r="116" spans="1:11" ht="15">
      <c r="A116" s="7">
        <v>109</v>
      </c>
      <c r="B116" s="9">
        <f t="shared" si="21"/>
        <v>128.07500000000002</v>
      </c>
      <c r="C116" s="11">
        <f t="shared" si="22"/>
        <v>234.83448275862071</v>
      </c>
      <c r="D116" s="13">
        <f t="shared" si="23"/>
        <v>235</v>
      </c>
      <c r="E116" s="37">
        <f>0</f>
        <v>0</v>
      </c>
      <c r="F116" s="37">
        <f t="shared" si="24"/>
        <v>235</v>
      </c>
      <c r="G116" s="37">
        <f>0</f>
        <v>0</v>
      </c>
      <c r="H116" s="17">
        <f t="shared" si="25"/>
        <v>128.22499999999999</v>
      </c>
      <c r="I116" s="17">
        <f t="shared" si="26"/>
        <v>0.14999999999997726</v>
      </c>
      <c r="J116" s="19">
        <f t="shared" si="27"/>
        <v>1.1711887565877591E-3</v>
      </c>
      <c r="K116" s="35" t="s">
        <v>40</v>
      </c>
    </row>
    <row r="117" spans="1:11" ht="15">
      <c r="A117" s="7">
        <v>110</v>
      </c>
      <c r="B117" s="9">
        <f t="shared" si="21"/>
        <v>129.25</v>
      </c>
      <c r="C117" s="11">
        <f t="shared" si="22"/>
        <v>236.13103448275862</v>
      </c>
      <c r="D117" s="13">
        <f t="shared" si="23"/>
        <v>236</v>
      </c>
      <c r="E117" s="37">
        <f>0</f>
        <v>0</v>
      </c>
      <c r="F117" s="37">
        <f t="shared" si="24"/>
        <v>236</v>
      </c>
      <c r="G117" s="37">
        <f>0</f>
        <v>0</v>
      </c>
      <c r="H117" s="17">
        <f t="shared" si="25"/>
        <v>129.13124999999999</v>
      </c>
      <c r="I117" s="17">
        <f t="shared" si="26"/>
        <v>-0.11875000000000568</v>
      </c>
      <c r="J117" s="19">
        <f t="shared" si="27"/>
        <v>9.187620889748989E-4</v>
      </c>
      <c r="K117" s="35" t="s">
        <v>40</v>
      </c>
    </row>
    <row r="118" spans="1:11" ht="15">
      <c r="A118" s="7">
        <v>111</v>
      </c>
      <c r="B118" s="9">
        <f t="shared" si="21"/>
        <v>130.42500000000001</v>
      </c>
      <c r="C118" s="11">
        <f t="shared" si="22"/>
        <v>237.42758620689656</v>
      </c>
      <c r="D118" s="13">
        <f t="shared" si="23"/>
        <v>237</v>
      </c>
      <c r="E118" s="37">
        <f>0</f>
        <v>0</v>
      </c>
      <c r="F118" s="37">
        <f t="shared" si="24"/>
        <v>237</v>
      </c>
      <c r="G118" s="37">
        <f>0</f>
        <v>0</v>
      </c>
      <c r="H118" s="17">
        <f t="shared" si="25"/>
        <v>130.03749999999999</v>
      </c>
      <c r="I118" s="17">
        <f t="shared" si="26"/>
        <v>-0.38750000000001705</v>
      </c>
      <c r="J118" s="19">
        <f t="shared" si="27"/>
        <v>2.9710561625456546E-3</v>
      </c>
      <c r="K118" s="35" t="s">
        <v>40</v>
      </c>
    </row>
    <row r="119" spans="1:11" ht="15">
      <c r="A119" s="7">
        <v>112</v>
      </c>
      <c r="B119" s="9">
        <f t="shared" si="21"/>
        <v>131.6</v>
      </c>
      <c r="C119" s="11">
        <f t="shared" si="22"/>
        <v>238.72413793103448</v>
      </c>
      <c r="D119" s="13">
        <f t="shared" si="23"/>
        <v>239</v>
      </c>
      <c r="E119" s="37">
        <f>0</f>
        <v>0</v>
      </c>
      <c r="F119" s="37">
        <f t="shared" si="24"/>
        <v>239</v>
      </c>
      <c r="G119" s="37">
        <f>0</f>
        <v>0</v>
      </c>
      <c r="H119" s="17">
        <f t="shared" si="25"/>
        <v>131.85</v>
      </c>
      <c r="I119" s="17">
        <f t="shared" si="26"/>
        <v>0.25</v>
      </c>
      <c r="J119" s="19">
        <f t="shared" si="27"/>
        <v>1.8996960486322189E-3</v>
      </c>
      <c r="K119" s="35" t="s">
        <v>40</v>
      </c>
    </row>
    <row r="120" spans="1:11" ht="15">
      <c r="A120" s="7">
        <v>113</v>
      </c>
      <c r="B120" s="9">
        <f t="shared" si="21"/>
        <v>132.77500000000001</v>
      </c>
      <c r="C120" s="11">
        <f t="shared" si="22"/>
        <v>239.88007928642222</v>
      </c>
      <c r="D120" s="13">
        <f t="shared" si="23"/>
        <v>240</v>
      </c>
      <c r="E120" s="37">
        <f>0</f>
        <v>0</v>
      </c>
      <c r="F120" s="37">
        <f t="shared" si="24"/>
        <v>240</v>
      </c>
      <c r="G120" s="37">
        <f>0</f>
        <v>0</v>
      </c>
      <c r="H120" s="17">
        <f t="shared" si="25"/>
        <v>132.90104166666666</v>
      </c>
      <c r="I120" s="17">
        <f t="shared" si="26"/>
        <v>0.12604166666665151</v>
      </c>
      <c r="J120" s="19">
        <f t="shared" si="27"/>
        <v>9.4928764200076445E-4</v>
      </c>
      <c r="K120" s="35" t="s">
        <v>40</v>
      </c>
    </row>
    <row r="121" spans="1:11" ht="15">
      <c r="A121" s="7">
        <v>114</v>
      </c>
      <c r="B121" s="9">
        <f t="shared" si="21"/>
        <v>133.95000000000002</v>
      </c>
      <c r="C121" s="11">
        <f t="shared" si="22"/>
        <v>240.99801783944503</v>
      </c>
      <c r="D121" s="13">
        <f t="shared" si="23"/>
        <v>241</v>
      </c>
      <c r="E121" s="37">
        <f>0</f>
        <v>0</v>
      </c>
      <c r="F121" s="37">
        <f t="shared" si="24"/>
        <v>241</v>
      </c>
      <c r="G121" s="37">
        <f>0</f>
        <v>0</v>
      </c>
      <c r="H121" s="17">
        <f t="shared" si="25"/>
        <v>133.95208333333332</v>
      </c>
      <c r="I121" s="17">
        <f t="shared" si="26"/>
        <v>2.0833333333030168E-3</v>
      </c>
      <c r="J121" s="19">
        <f t="shared" si="27"/>
        <v>1.5553067064598854E-5</v>
      </c>
      <c r="K121" s="35" t="s">
        <v>40</v>
      </c>
    </row>
    <row r="122" spans="1:11" ht="15">
      <c r="A122" s="7">
        <v>115</v>
      </c>
      <c r="B122" s="9">
        <f t="shared" si="21"/>
        <v>135.125</v>
      </c>
      <c r="C122" s="11">
        <f t="shared" si="22"/>
        <v>242.11595639246778</v>
      </c>
      <c r="D122" s="13">
        <f t="shared" si="23"/>
        <v>242</v>
      </c>
      <c r="E122" s="37">
        <f>0</f>
        <v>0</v>
      </c>
      <c r="F122" s="37">
        <f t="shared" si="24"/>
        <v>242</v>
      </c>
      <c r="G122" s="37">
        <f>0</f>
        <v>0</v>
      </c>
      <c r="H122" s="17">
        <f t="shared" si="25"/>
        <v>135.00312500000001</v>
      </c>
      <c r="I122" s="17">
        <f t="shared" si="26"/>
        <v>-0.12187499999998863</v>
      </c>
      <c r="J122" s="19">
        <f t="shared" si="27"/>
        <v>9.019426456983433E-4</v>
      </c>
      <c r="K122" s="35" t="s">
        <v>40</v>
      </c>
    </row>
    <row r="123" spans="1:11" ht="15">
      <c r="A123" s="7">
        <v>116</v>
      </c>
      <c r="B123" s="9">
        <f t="shared" si="21"/>
        <v>136.30000000000001</v>
      </c>
      <c r="C123" s="11">
        <f t="shared" si="22"/>
        <v>243.23389494549059</v>
      </c>
      <c r="D123" s="13">
        <f t="shared" si="23"/>
        <v>243</v>
      </c>
      <c r="E123" s="37">
        <f>0</f>
        <v>0</v>
      </c>
      <c r="F123" s="37">
        <f t="shared" si="24"/>
        <v>243</v>
      </c>
      <c r="G123" s="37">
        <f>0</f>
        <v>0</v>
      </c>
      <c r="H123" s="17">
        <f t="shared" si="25"/>
        <v>136.05416666666667</v>
      </c>
      <c r="I123" s="17">
        <f t="shared" si="26"/>
        <v>-0.24583333333333712</v>
      </c>
      <c r="J123" s="19">
        <f t="shared" si="27"/>
        <v>1.8036194668623411E-3</v>
      </c>
      <c r="K123" s="35" t="s">
        <v>40</v>
      </c>
    </row>
    <row r="124" spans="1:11" ht="15">
      <c r="A124" s="7">
        <v>117</v>
      </c>
      <c r="B124" s="9">
        <f t="shared" si="21"/>
        <v>137.47499999999999</v>
      </c>
      <c r="C124" s="11">
        <f t="shared" si="22"/>
        <v>244.35183349851337</v>
      </c>
      <c r="D124" s="13">
        <f t="shared" si="23"/>
        <v>244</v>
      </c>
      <c r="E124" s="37">
        <f>0</f>
        <v>0</v>
      </c>
      <c r="F124" s="37">
        <f t="shared" si="24"/>
        <v>244</v>
      </c>
      <c r="G124" s="37">
        <f>0</f>
        <v>0</v>
      </c>
      <c r="H124" s="17">
        <f t="shared" si="25"/>
        <v>137.10520833333334</v>
      </c>
      <c r="I124" s="17">
        <f t="shared" si="26"/>
        <v>-0.36979166666665719</v>
      </c>
      <c r="J124" s="19">
        <f t="shared" si="27"/>
        <v>2.6898830090318765E-3</v>
      </c>
      <c r="K124" s="35" t="s">
        <v>40</v>
      </c>
    </row>
    <row r="125" spans="1:11" ht="15">
      <c r="A125" s="7">
        <v>118</v>
      </c>
      <c r="B125" s="9">
        <f t="shared" si="21"/>
        <v>138.65</v>
      </c>
      <c r="C125" s="11">
        <f t="shared" si="22"/>
        <v>245.46977205153618</v>
      </c>
      <c r="D125" s="13">
        <f t="shared" si="23"/>
        <v>245</v>
      </c>
      <c r="E125" s="37">
        <f>0</f>
        <v>0</v>
      </c>
      <c r="F125" s="37">
        <f t="shared" si="24"/>
        <v>245</v>
      </c>
      <c r="G125" s="37">
        <f>0</f>
        <v>0</v>
      </c>
      <c r="H125" s="17">
        <f t="shared" si="25"/>
        <v>138.15625</v>
      </c>
      <c r="I125" s="17">
        <f t="shared" si="26"/>
        <v>-0.49375000000000568</v>
      </c>
      <c r="J125" s="19">
        <f t="shared" si="27"/>
        <v>3.5611251352326411E-3</v>
      </c>
      <c r="K125" s="35" t="s">
        <v>40</v>
      </c>
    </row>
    <row r="126" spans="1:11" ht="15">
      <c r="A126" s="7">
        <v>119</v>
      </c>
      <c r="B126" s="9">
        <f t="shared" si="21"/>
        <v>139.82500000000002</v>
      </c>
      <c r="C126" s="11">
        <f t="shared" si="22"/>
        <v>246.58771060455899</v>
      </c>
      <c r="D126" s="13">
        <f t="shared" si="23"/>
        <v>247</v>
      </c>
      <c r="E126" s="37">
        <f>0</f>
        <v>0</v>
      </c>
      <c r="F126" s="37">
        <f t="shared" si="24"/>
        <v>247</v>
      </c>
      <c r="G126" s="37">
        <f>0</f>
        <v>0</v>
      </c>
      <c r="H126" s="17">
        <f t="shared" si="25"/>
        <v>140.25833333333333</v>
      </c>
      <c r="I126" s="17">
        <f t="shared" si="26"/>
        <v>0.4333333333333087</v>
      </c>
      <c r="J126" s="19">
        <f t="shared" si="27"/>
        <v>3.0991119852194432E-3</v>
      </c>
      <c r="K126" s="35" t="s">
        <v>40</v>
      </c>
    </row>
    <row r="127" spans="1:11" ht="15">
      <c r="A127" s="7">
        <v>120</v>
      </c>
      <c r="B127" s="9">
        <f t="shared" si="21"/>
        <v>141</v>
      </c>
      <c r="C127" s="11">
        <f t="shared" si="22"/>
        <v>247.70564915758175</v>
      </c>
      <c r="D127" s="13">
        <f t="shared" si="23"/>
        <v>248</v>
      </c>
      <c r="E127" s="37">
        <f>0</f>
        <v>0</v>
      </c>
      <c r="F127" s="37">
        <f t="shared" si="24"/>
        <v>248</v>
      </c>
      <c r="G127" s="37">
        <f>0</f>
        <v>0</v>
      </c>
      <c r="H127" s="17">
        <f t="shared" si="25"/>
        <v>141.30937500000002</v>
      </c>
      <c r="I127" s="17">
        <f t="shared" si="26"/>
        <v>0.30937500000001705</v>
      </c>
      <c r="J127" s="19">
        <f t="shared" si="27"/>
        <v>2.1941489361703339E-3</v>
      </c>
      <c r="K127" s="35" t="s">
        <v>40</v>
      </c>
    </row>
    <row r="128" spans="1:11" ht="15">
      <c r="A128" s="7">
        <v>121</v>
      </c>
      <c r="B128" s="9">
        <f t="shared" si="21"/>
        <v>142.17500000000001</v>
      </c>
      <c r="C128" s="11">
        <f t="shared" si="22"/>
        <v>248.82358771060456</v>
      </c>
      <c r="D128" s="13">
        <f t="shared" si="23"/>
        <v>249</v>
      </c>
      <c r="E128" s="37">
        <f>0</f>
        <v>0</v>
      </c>
      <c r="F128" s="37">
        <f t="shared" si="24"/>
        <v>249</v>
      </c>
      <c r="G128" s="37">
        <f>0</f>
        <v>0</v>
      </c>
      <c r="H128" s="17">
        <f t="shared" si="25"/>
        <v>142.36041666666668</v>
      </c>
      <c r="I128" s="17">
        <f t="shared" si="26"/>
        <v>0.18541666666666856</v>
      </c>
      <c r="J128" s="19">
        <f t="shared" si="27"/>
        <v>1.3041439540472555E-3</v>
      </c>
      <c r="K128" s="35" t="s">
        <v>40</v>
      </c>
    </row>
    <row r="129" spans="1:11" ht="15">
      <c r="A129" s="7">
        <v>122</v>
      </c>
      <c r="B129" s="9">
        <f t="shared" si="21"/>
        <v>143.35</v>
      </c>
      <c r="C129" s="11">
        <f t="shared" si="22"/>
        <v>249.94152626362734</v>
      </c>
      <c r="D129" s="13">
        <f t="shared" si="23"/>
        <v>250</v>
      </c>
      <c r="E129" s="37">
        <f>0</f>
        <v>0</v>
      </c>
      <c r="F129" s="37">
        <f t="shared" si="24"/>
        <v>250</v>
      </c>
      <c r="G129" s="37">
        <f>0</f>
        <v>0</v>
      </c>
      <c r="H129" s="17">
        <f t="shared" si="25"/>
        <v>143.41145833333334</v>
      </c>
      <c r="I129" s="17">
        <f t="shared" si="26"/>
        <v>6.1458333333348492E-2</v>
      </c>
      <c r="J129" s="19">
        <f t="shared" si="27"/>
        <v>4.2872921753295078E-4</v>
      </c>
      <c r="K129" s="35" t="s">
        <v>40</v>
      </c>
    </row>
    <row r="130" spans="1:11" ht="15">
      <c r="A130" s="7">
        <v>123</v>
      </c>
      <c r="B130" s="9">
        <f t="shared" si="21"/>
        <v>144.52500000000001</v>
      </c>
      <c r="C130" s="11">
        <f t="shared" si="22"/>
        <v>251.05946481665015</v>
      </c>
      <c r="D130" s="13">
        <f t="shared" si="23"/>
        <v>251</v>
      </c>
      <c r="E130" s="37">
        <f>0</f>
        <v>0</v>
      </c>
      <c r="F130" s="37">
        <f t="shared" si="24"/>
        <v>251</v>
      </c>
      <c r="G130" s="37">
        <f>0</f>
        <v>0</v>
      </c>
      <c r="H130" s="17">
        <f t="shared" si="25"/>
        <v>144.46250000000001</v>
      </c>
      <c r="I130" s="17">
        <f t="shared" si="26"/>
        <v>-6.25E-2</v>
      </c>
      <c r="J130" s="19">
        <f t="shared" si="27"/>
        <v>4.3245113302196848E-4</v>
      </c>
      <c r="K130" s="35" t="s">
        <v>40</v>
      </c>
    </row>
    <row r="131" spans="1:11" ht="15">
      <c r="A131" s="7">
        <v>124</v>
      </c>
      <c r="B131" s="9">
        <f t="shared" si="21"/>
        <v>145.70000000000002</v>
      </c>
      <c r="C131" s="11">
        <f t="shared" si="22"/>
        <v>252.17740336967296</v>
      </c>
      <c r="D131" s="13">
        <f t="shared" si="23"/>
        <v>252</v>
      </c>
      <c r="E131" s="37">
        <f>0</f>
        <v>0</v>
      </c>
      <c r="F131" s="37">
        <f t="shared" si="24"/>
        <v>252</v>
      </c>
      <c r="G131" s="37">
        <f>0</f>
        <v>0</v>
      </c>
      <c r="H131" s="17">
        <f t="shared" si="25"/>
        <v>145.51354166666667</v>
      </c>
      <c r="I131" s="17">
        <f t="shared" si="26"/>
        <v>-0.18645833333334849</v>
      </c>
      <c r="J131" s="19">
        <f t="shared" si="27"/>
        <v>1.279741477922776E-3</v>
      </c>
      <c r="K131" s="35" t="s">
        <v>40</v>
      </c>
    </row>
    <row r="132" spans="1:11" ht="15">
      <c r="A132" s="7">
        <v>125</v>
      </c>
      <c r="B132" s="9">
        <f t="shared" si="21"/>
        <v>146.875</v>
      </c>
      <c r="C132" s="11">
        <f t="shared" si="22"/>
        <v>253.29534192269571</v>
      </c>
      <c r="D132" s="13">
        <f t="shared" si="23"/>
        <v>253</v>
      </c>
      <c r="E132" s="37">
        <f>0</f>
        <v>0</v>
      </c>
      <c r="F132" s="37">
        <f t="shared" si="24"/>
        <v>253</v>
      </c>
      <c r="G132" s="37">
        <f>0</f>
        <v>0</v>
      </c>
      <c r="H132" s="17">
        <f t="shared" si="25"/>
        <v>146.56458333333336</v>
      </c>
      <c r="I132" s="17">
        <f t="shared" si="26"/>
        <v>-0.31041666666664014</v>
      </c>
      <c r="J132" s="19">
        <f t="shared" si="27"/>
        <v>2.1134751773047838E-3</v>
      </c>
      <c r="K132" s="35" t="s">
        <v>40</v>
      </c>
    </row>
    <row r="133" spans="1:11" ht="15">
      <c r="A133" s="7">
        <v>126</v>
      </c>
      <c r="B133" s="9">
        <f t="shared" si="21"/>
        <v>148.05000000000001</v>
      </c>
      <c r="C133" s="11">
        <f t="shared" si="22"/>
        <v>254.41328047571852</v>
      </c>
      <c r="D133" s="13">
        <f t="shared" si="23"/>
        <v>254</v>
      </c>
      <c r="E133" s="37">
        <f>0</f>
        <v>0</v>
      </c>
      <c r="F133" s="37">
        <f t="shared" si="24"/>
        <v>254</v>
      </c>
      <c r="G133" s="37">
        <f>0</f>
        <v>0</v>
      </c>
      <c r="H133" s="17">
        <f t="shared" si="25"/>
        <v>147.61562500000002</v>
      </c>
      <c r="I133" s="17">
        <f t="shared" si="26"/>
        <v>-0.43437499999998863</v>
      </c>
      <c r="J133" s="19">
        <f t="shared" si="27"/>
        <v>2.9339750084430164E-3</v>
      </c>
      <c r="K133" s="35" t="s">
        <v>40</v>
      </c>
    </row>
    <row r="134" spans="1:11" ht="15">
      <c r="A134" s="8">
        <v>127</v>
      </c>
      <c r="B134" s="10">
        <f t="shared" si="21"/>
        <v>148.66666666666669</v>
      </c>
      <c r="C134" s="12">
        <f t="shared" si="22"/>
        <v>255</v>
      </c>
      <c r="D134" s="14">
        <f t="shared" si="23"/>
        <v>255</v>
      </c>
      <c r="E134" s="38">
        <f>0</f>
        <v>0</v>
      </c>
      <c r="F134" s="38">
        <f t="shared" si="24"/>
        <v>255</v>
      </c>
      <c r="G134" s="38">
        <f>0</f>
        <v>0</v>
      </c>
      <c r="H134" s="18">
        <f t="shared" si="25"/>
        <v>148.66666666666669</v>
      </c>
      <c r="I134" s="18">
        <f t="shared" si="26"/>
        <v>0</v>
      </c>
      <c r="J134" s="20">
        <f t="shared" si="27"/>
        <v>0</v>
      </c>
      <c r="K134" s="36" t="s">
        <v>40</v>
      </c>
    </row>
  </sheetData>
  <mergeCells count="7">
    <mergeCell ref="A4:M4"/>
    <mergeCell ref="A1:M1"/>
    <mergeCell ref="A2:M2"/>
    <mergeCell ref="A3:B3"/>
    <mergeCell ref="D3:E3"/>
    <mergeCell ref="G3:H3"/>
    <mergeCell ref="J3:L3"/>
  </mergeCells>
  <phoneticPr fontId="12" type="noConversion"/>
  <conditionalFormatting sqref="J7:J134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7"/>
  <sheetViews>
    <sheetView showGridLines="0" workbookViewId="0"/>
  </sheetViews>
  <sheetFormatPr defaultRowHeight="14.25"/>
  <cols>
    <col min="1" max="1" width="12" customWidth="1"/>
    <col min="2" max="2" width="16" customWidth="1"/>
    <col min="3" max="3" width="19" customWidth="1"/>
    <col min="4" max="4" width="17" customWidth="1"/>
    <col min="5" max="7" width="8" customWidth="1"/>
    <col min="8" max="8" width="16" customWidth="1"/>
    <col min="9" max="9" width="15" customWidth="1"/>
    <col min="10" max="11" width="12" customWidth="1"/>
    <col min="12" max="12" width="14" customWidth="1"/>
    <col min="13" max="13" width="19" customWidth="1"/>
  </cols>
  <sheetData>
    <row r="1" spans="1:13" ht="30" customHeight="1">
      <c r="A1" s="77" t="s">
        <v>42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33.950000000000003" customHeight="1">
      <c r="A2" s="78" t="s">
        <v>25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24" customHeight="1">
      <c r="A3" s="73" t="s">
        <v>26</v>
      </c>
      <c r="B3" s="73"/>
      <c r="C3" s="3">
        <v>23.5</v>
      </c>
      <c r="D3" s="73" t="s">
        <v>10</v>
      </c>
      <c r="E3" s="73"/>
      <c r="F3" s="4">
        <v>20</v>
      </c>
      <c r="G3" s="73" t="s">
        <v>2</v>
      </c>
      <c r="H3" s="73"/>
      <c r="I3" s="3">
        <v>1.175</v>
      </c>
      <c r="J3" s="73" t="s">
        <v>27</v>
      </c>
      <c r="K3" s="73"/>
      <c r="L3" s="73"/>
      <c r="M3" s="4">
        <v>255</v>
      </c>
    </row>
    <row r="4" spans="1:13" ht="33.950000000000003" customHeight="1">
      <c r="A4" s="74" t="s">
        <v>28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6" spans="1:13" ht="42" customHeight="1">
      <c r="A6" s="5" t="s">
        <v>29</v>
      </c>
      <c r="B6" s="5" t="s">
        <v>30</v>
      </c>
      <c r="C6" s="5" t="s">
        <v>31</v>
      </c>
      <c r="D6" s="5" t="s">
        <v>32</v>
      </c>
      <c r="E6" s="5" t="s">
        <v>18</v>
      </c>
      <c r="F6" s="5" t="s">
        <v>19</v>
      </c>
      <c r="G6" s="5" t="s">
        <v>20</v>
      </c>
      <c r="H6" s="5" t="s">
        <v>33</v>
      </c>
      <c r="I6" s="5" t="s">
        <v>34</v>
      </c>
      <c r="J6" s="5" t="s">
        <v>35</v>
      </c>
      <c r="K6" s="5" t="s">
        <v>36</v>
      </c>
      <c r="L6" s="6" t="s">
        <v>37</v>
      </c>
      <c r="M6" s="6" t="s">
        <v>38</v>
      </c>
    </row>
    <row r="7" spans="1:13">
      <c r="A7" s="7">
        <v>0</v>
      </c>
      <c r="B7" s="9">
        <f t="shared" ref="B7:B27" si="0">MIN(A7*$I$3,$C$3)</f>
        <v>0</v>
      </c>
      <c r="C7" s="11">
        <f t="shared" ref="C7:C27" si="1">IF(B7&lt;=0,0,IF(B7&gt;=$C$3,255,INDEX($L$7:$L$23,MATCH(B7,$M$7:$M$23,1))+(B7-INDEX($M$7:$M$23,MATCH(B7,$M$7:$M$23,1)))*(INDEX($L$7:$L$23,MATCH(B7,$M$7:$M$23,1)+1)-INDEX($L$7:$L$23,MATCH(B7,$M$7:$M$23,1)))/(INDEX($M$7:$M$23,MATCH(B7,$M$7:$M$23,1)+1)-INDEX($M$7:$M$23,MATCH(B7,$M$7:$M$23,1)))))</f>
        <v>0</v>
      </c>
      <c r="D7" s="13">
        <f t="shared" ref="D7:D27" si="2">ROUND(C7,0)</f>
        <v>0</v>
      </c>
      <c r="E7" s="47">
        <f>0</f>
        <v>0</v>
      </c>
      <c r="F7" s="47">
        <f>0</f>
        <v>0</v>
      </c>
      <c r="G7" s="47">
        <f t="shared" ref="G7:G27" si="3">D7</f>
        <v>0</v>
      </c>
      <c r="H7" s="17">
        <f t="shared" ref="H7:H27" si="4">IF(D7&lt;=0,0,IF(D7&gt;=255,$C$3,INDEX($M$7:$M$23,MATCH(D7,$L$7:$L$23,1))+(D7-INDEX($L$7:$L$23,MATCH(D7,$L$7:$L$23,1)))*(INDEX($M$7:$M$23,MATCH(D7,$L$7:$L$23,1)+1)-INDEX($M$7:$M$23,MATCH(D7,$L$7:$L$23,1)))/(INDEX($L$7:$L$23,MATCH(D7,$L$7:$L$23,1)+1)-INDEX($L$7:$L$23,MATCH(D7,$L$7:$L$23,1)))))</f>
        <v>0</v>
      </c>
      <c r="I7" s="17">
        <f t="shared" ref="I7:I27" si="5">H7-B7</f>
        <v>0</v>
      </c>
      <c r="J7" s="19">
        <f t="shared" ref="J7:J27" si="6">IF(B7=0,0,ABS(I7/B7))</f>
        <v>0</v>
      </c>
      <c r="K7" s="21" t="s">
        <v>39</v>
      </c>
      <c r="L7" s="23">
        <v>0</v>
      </c>
      <c r="M7" s="25">
        <v>0</v>
      </c>
    </row>
    <row r="8" spans="1:13">
      <c r="A8" s="7">
        <v>1</v>
      </c>
      <c r="B8" s="9">
        <f t="shared" si="0"/>
        <v>1.175</v>
      </c>
      <c r="C8" s="11">
        <f t="shared" si="1"/>
        <v>57.844679444811632</v>
      </c>
      <c r="D8" s="13">
        <f t="shared" si="2"/>
        <v>58</v>
      </c>
      <c r="E8" s="47">
        <f>0</f>
        <v>0</v>
      </c>
      <c r="F8" s="47">
        <f>0</f>
        <v>0</v>
      </c>
      <c r="G8" s="47">
        <f t="shared" si="3"/>
        <v>58</v>
      </c>
      <c r="H8" s="17">
        <f t="shared" si="4"/>
        <v>1.1798958333333331</v>
      </c>
      <c r="I8" s="17">
        <f t="shared" si="5"/>
        <v>4.8958333333330994E-3</v>
      </c>
      <c r="J8" s="19">
        <f t="shared" si="6"/>
        <v>4.1666666666664671E-3</v>
      </c>
      <c r="K8" s="21" t="s">
        <v>39</v>
      </c>
      <c r="L8" s="23">
        <v>15</v>
      </c>
      <c r="M8" s="25">
        <v>0.27046666666666663</v>
      </c>
    </row>
    <row r="9" spans="1:13">
      <c r="A9" s="7">
        <v>2</v>
      </c>
      <c r="B9" s="9">
        <f t="shared" si="0"/>
        <v>2.35</v>
      </c>
      <c r="C9" s="11">
        <f t="shared" si="1"/>
        <v>84.600662800331406</v>
      </c>
      <c r="D9" s="13">
        <f t="shared" si="2"/>
        <v>85</v>
      </c>
      <c r="E9" s="47">
        <f>0</f>
        <v>0</v>
      </c>
      <c r="F9" s="47">
        <f>0</f>
        <v>0</v>
      </c>
      <c r="G9" s="47">
        <f t="shared" si="3"/>
        <v>85</v>
      </c>
      <c r="H9" s="17">
        <f t="shared" si="4"/>
        <v>2.3700833333333335</v>
      </c>
      <c r="I9" s="17">
        <f t="shared" si="5"/>
        <v>2.0083333333333453E-2</v>
      </c>
      <c r="J9" s="19">
        <f t="shared" si="6"/>
        <v>8.546099290780193E-3</v>
      </c>
      <c r="K9" s="21" t="s">
        <v>39</v>
      </c>
      <c r="L9" s="23">
        <v>31</v>
      </c>
      <c r="M9" s="25">
        <v>0.45924999999999994</v>
      </c>
    </row>
    <row r="10" spans="1:13">
      <c r="A10" s="7">
        <v>3</v>
      </c>
      <c r="B10" s="9">
        <f t="shared" si="0"/>
        <v>3.5250000000000004</v>
      </c>
      <c r="C10" s="11">
        <f t="shared" si="1"/>
        <v>104.07788252356781</v>
      </c>
      <c r="D10" s="13">
        <f t="shared" si="2"/>
        <v>104</v>
      </c>
      <c r="E10" s="47">
        <f>0</f>
        <v>0</v>
      </c>
      <c r="F10" s="47">
        <f>0</f>
        <v>0</v>
      </c>
      <c r="G10" s="47">
        <f t="shared" si="3"/>
        <v>104</v>
      </c>
      <c r="H10" s="17">
        <f t="shared" si="4"/>
        <v>3.5194062500000003</v>
      </c>
      <c r="I10" s="17">
        <f t="shared" si="5"/>
        <v>-5.5937500000000639E-3</v>
      </c>
      <c r="J10" s="19">
        <f t="shared" si="6"/>
        <v>1.5868794326241314E-3</v>
      </c>
      <c r="K10" s="21" t="s">
        <v>39</v>
      </c>
      <c r="L10" s="23">
        <v>47</v>
      </c>
      <c r="M10" s="25">
        <v>0.83316666666666661</v>
      </c>
    </row>
    <row r="11" spans="1:13">
      <c r="A11" s="7">
        <v>4</v>
      </c>
      <c r="B11" s="9">
        <f t="shared" si="0"/>
        <v>4.7</v>
      </c>
      <c r="C11" s="11">
        <f t="shared" si="1"/>
        <v>118.77907949790794</v>
      </c>
      <c r="D11" s="13">
        <f t="shared" si="2"/>
        <v>119</v>
      </c>
      <c r="E11" s="47">
        <f>0</f>
        <v>0</v>
      </c>
      <c r="F11" s="47">
        <f>0</f>
        <v>0</v>
      </c>
      <c r="G11" s="47">
        <f t="shared" si="3"/>
        <v>119</v>
      </c>
      <c r="H11" s="17">
        <f t="shared" si="4"/>
        <v>4.7192500000000006</v>
      </c>
      <c r="I11" s="17">
        <f t="shared" si="5"/>
        <v>1.9250000000000433E-2</v>
      </c>
      <c r="J11" s="19">
        <f t="shared" si="6"/>
        <v>4.095744680851156E-3</v>
      </c>
      <c r="K11" s="21" t="s">
        <v>39</v>
      </c>
      <c r="L11" s="23">
        <v>63</v>
      </c>
      <c r="M11" s="25">
        <v>1.3374999999999999</v>
      </c>
    </row>
    <row r="12" spans="1:13">
      <c r="A12" s="7">
        <v>5</v>
      </c>
      <c r="B12" s="9">
        <f t="shared" si="0"/>
        <v>5.875</v>
      </c>
      <c r="C12" s="11">
        <f t="shared" si="1"/>
        <v>134.23496549457772</v>
      </c>
      <c r="D12" s="13">
        <f t="shared" si="2"/>
        <v>134</v>
      </c>
      <c r="E12" s="47">
        <f>0</f>
        <v>0</v>
      </c>
      <c r="F12" s="47">
        <f>0</f>
        <v>0</v>
      </c>
      <c r="G12" s="47">
        <f t="shared" si="3"/>
        <v>134</v>
      </c>
      <c r="H12" s="17">
        <f t="shared" si="4"/>
        <v>5.8601041666666669</v>
      </c>
      <c r="I12" s="17">
        <f t="shared" si="5"/>
        <v>-1.4895833333333108E-2</v>
      </c>
      <c r="J12" s="19">
        <f t="shared" si="6"/>
        <v>2.5354609929077632E-3</v>
      </c>
      <c r="K12" s="21" t="s">
        <v>39</v>
      </c>
      <c r="L12" s="23">
        <v>79</v>
      </c>
      <c r="M12" s="25">
        <v>2.0683333333333334</v>
      </c>
    </row>
    <row r="13" spans="1:13">
      <c r="A13" s="7">
        <v>6</v>
      </c>
      <c r="B13" s="9">
        <f t="shared" si="0"/>
        <v>7.0500000000000007</v>
      </c>
      <c r="C13" s="11">
        <f t="shared" si="1"/>
        <v>148.06008510638299</v>
      </c>
      <c r="D13" s="13">
        <f t="shared" si="2"/>
        <v>148</v>
      </c>
      <c r="E13" s="47">
        <f>0</f>
        <v>0</v>
      </c>
      <c r="F13" s="47">
        <f>0</f>
        <v>0</v>
      </c>
      <c r="G13" s="47">
        <f t="shared" si="3"/>
        <v>148</v>
      </c>
      <c r="H13" s="17">
        <f t="shared" si="4"/>
        <v>7.0426458333333333</v>
      </c>
      <c r="I13" s="17">
        <f t="shared" si="5"/>
        <v>-7.3541666666674388E-3</v>
      </c>
      <c r="J13" s="19">
        <f t="shared" si="6"/>
        <v>1.0431442080379345E-3</v>
      </c>
      <c r="K13" s="21" t="s">
        <v>39</v>
      </c>
      <c r="L13" s="23">
        <v>95</v>
      </c>
      <c r="M13" s="25">
        <v>2.8730000000000002</v>
      </c>
    </row>
    <row r="14" spans="1:13">
      <c r="A14" s="7">
        <v>7</v>
      </c>
      <c r="B14" s="9">
        <f t="shared" si="0"/>
        <v>8.2249999999999996</v>
      </c>
      <c r="C14" s="11">
        <f t="shared" si="1"/>
        <v>157.66008510638298</v>
      </c>
      <c r="D14" s="13">
        <f t="shared" si="2"/>
        <v>158</v>
      </c>
      <c r="E14" s="47">
        <f>0</f>
        <v>0</v>
      </c>
      <c r="F14" s="47">
        <f>0</f>
        <v>0</v>
      </c>
      <c r="G14" s="47">
        <f t="shared" si="3"/>
        <v>158</v>
      </c>
      <c r="H14" s="17">
        <f t="shared" si="4"/>
        <v>8.2666041666666654</v>
      </c>
      <c r="I14" s="17">
        <f t="shared" si="5"/>
        <v>4.1604166666665776E-2</v>
      </c>
      <c r="J14" s="19">
        <f t="shared" si="6"/>
        <v>5.0582573454912797E-3</v>
      </c>
      <c r="K14" s="21" t="s">
        <v>39</v>
      </c>
      <c r="L14" s="23">
        <v>111</v>
      </c>
      <c r="M14" s="25">
        <v>4.0221666666666671</v>
      </c>
    </row>
    <row r="15" spans="1:13">
      <c r="A15" s="7">
        <v>8</v>
      </c>
      <c r="B15" s="9">
        <f t="shared" si="0"/>
        <v>9.4</v>
      </c>
      <c r="C15" s="11">
        <f t="shared" si="1"/>
        <v>168.96059113300493</v>
      </c>
      <c r="D15" s="13">
        <f t="shared" si="2"/>
        <v>169</v>
      </c>
      <c r="E15" s="47">
        <f>0</f>
        <v>0</v>
      </c>
      <c r="F15" s="47">
        <f>0</f>
        <v>0</v>
      </c>
      <c r="G15" s="47">
        <f t="shared" si="3"/>
        <v>169</v>
      </c>
      <c r="H15" s="17">
        <f t="shared" si="4"/>
        <v>9.4039999999999999</v>
      </c>
      <c r="I15" s="17">
        <f t="shared" si="5"/>
        <v>3.9999999999995595E-3</v>
      </c>
      <c r="J15" s="19">
        <f t="shared" si="6"/>
        <v>4.2553191489357013E-4</v>
      </c>
      <c r="K15" s="21" t="s">
        <v>39</v>
      </c>
      <c r="L15" s="23">
        <v>127</v>
      </c>
      <c r="M15" s="25">
        <v>5.4163333333333341</v>
      </c>
    </row>
    <row r="16" spans="1:13">
      <c r="A16" s="7">
        <v>9</v>
      </c>
      <c r="B16" s="9">
        <f t="shared" si="0"/>
        <v>10.575000000000001</v>
      </c>
      <c r="C16" s="11">
        <f t="shared" si="1"/>
        <v>180.630557294928</v>
      </c>
      <c r="D16" s="13">
        <f t="shared" si="2"/>
        <v>181</v>
      </c>
      <c r="E16" s="47">
        <f>0</f>
        <v>0</v>
      </c>
      <c r="F16" s="47">
        <f>0</f>
        <v>0</v>
      </c>
      <c r="G16" s="47">
        <f t="shared" si="3"/>
        <v>181</v>
      </c>
      <c r="H16" s="17">
        <f t="shared" si="4"/>
        <v>10.611875000000001</v>
      </c>
      <c r="I16" s="17">
        <f t="shared" si="5"/>
        <v>3.6875000000000213E-2</v>
      </c>
      <c r="J16" s="19">
        <f t="shared" si="6"/>
        <v>3.4869976359338259E-3</v>
      </c>
      <c r="K16" s="21" t="s">
        <v>39</v>
      </c>
      <c r="L16" s="23">
        <v>143</v>
      </c>
      <c r="M16" s="25">
        <v>6.4306666666666663</v>
      </c>
    </row>
    <row r="17" spans="1:13">
      <c r="A17" s="7">
        <v>10</v>
      </c>
      <c r="B17" s="9">
        <f t="shared" si="0"/>
        <v>11.75</v>
      </c>
      <c r="C17" s="11">
        <f t="shared" si="1"/>
        <v>191.82809611829944</v>
      </c>
      <c r="D17" s="13">
        <f t="shared" si="2"/>
        <v>192</v>
      </c>
      <c r="E17" s="47">
        <f>0</f>
        <v>0</v>
      </c>
      <c r="F17" s="47">
        <f>0</f>
        <v>0</v>
      </c>
      <c r="G17" s="47">
        <f t="shared" si="3"/>
        <v>192</v>
      </c>
      <c r="H17" s="17">
        <f t="shared" si="4"/>
        <v>11.7790625</v>
      </c>
      <c r="I17" s="17">
        <f t="shared" si="5"/>
        <v>2.9062500000000213E-2</v>
      </c>
      <c r="J17" s="19">
        <f t="shared" si="6"/>
        <v>2.4734042553191671E-3</v>
      </c>
      <c r="K17" s="21" t="s">
        <v>39</v>
      </c>
      <c r="L17" s="23">
        <v>159</v>
      </c>
      <c r="M17" s="25">
        <v>8.3889999999999993</v>
      </c>
    </row>
    <row r="18" spans="1:13">
      <c r="A18" s="7">
        <v>11</v>
      </c>
      <c r="B18" s="9">
        <f t="shared" si="0"/>
        <v>12.925000000000001</v>
      </c>
      <c r="C18" s="11">
        <f t="shared" si="1"/>
        <v>198.77818853974122</v>
      </c>
      <c r="D18" s="13">
        <f t="shared" si="2"/>
        <v>199</v>
      </c>
      <c r="E18" s="47">
        <f>0</f>
        <v>0</v>
      </c>
      <c r="F18" s="47">
        <f>0</f>
        <v>0</v>
      </c>
      <c r="G18" s="47">
        <f t="shared" si="3"/>
        <v>199</v>
      </c>
      <c r="H18" s="17">
        <f t="shared" si="4"/>
        <v>12.9625</v>
      </c>
      <c r="I18" s="17">
        <f t="shared" si="5"/>
        <v>3.7499999999999645E-2</v>
      </c>
      <c r="J18" s="19">
        <f t="shared" si="6"/>
        <v>2.9013539651837248E-3</v>
      </c>
      <c r="K18" s="21" t="s">
        <v>39</v>
      </c>
      <c r="L18" s="23">
        <v>175</v>
      </c>
      <c r="M18" s="25">
        <v>10.013000000000002</v>
      </c>
    </row>
    <row r="19" spans="1:13">
      <c r="A19" s="7">
        <v>12</v>
      </c>
      <c r="B19" s="9">
        <f t="shared" si="0"/>
        <v>14.100000000000001</v>
      </c>
      <c r="C19" s="11">
        <f t="shared" si="1"/>
        <v>205.728280961183</v>
      </c>
      <c r="D19" s="13">
        <f t="shared" si="2"/>
        <v>206</v>
      </c>
      <c r="E19" s="47">
        <f>0</f>
        <v>0</v>
      </c>
      <c r="F19" s="47">
        <f>0</f>
        <v>0</v>
      </c>
      <c r="G19" s="47">
        <f t="shared" si="3"/>
        <v>206</v>
      </c>
      <c r="H19" s="17">
        <f t="shared" si="4"/>
        <v>14.145937500000002</v>
      </c>
      <c r="I19" s="17">
        <f t="shared" si="5"/>
        <v>4.5937500000000853E-2</v>
      </c>
      <c r="J19" s="19">
        <f t="shared" si="6"/>
        <v>3.2579787234043155E-3</v>
      </c>
      <c r="K19" s="21" t="s">
        <v>39</v>
      </c>
      <c r="L19" s="23">
        <v>191</v>
      </c>
      <c r="M19" s="25">
        <v>11.61</v>
      </c>
    </row>
    <row r="20" spans="1:13">
      <c r="A20" s="7">
        <v>13</v>
      </c>
      <c r="B20" s="9">
        <f t="shared" si="0"/>
        <v>15.275</v>
      </c>
      <c r="C20" s="11">
        <f t="shared" si="1"/>
        <v>212.87755102040816</v>
      </c>
      <c r="D20" s="13">
        <f t="shared" si="2"/>
        <v>213</v>
      </c>
      <c r="E20" s="47">
        <f>0</f>
        <v>0</v>
      </c>
      <c r="F20" s="47">
        <f>0</f>
        <v>0</v>
      </c>
      <c r="G20" s="47">
        <f t="shared" si="3"/>
        <v>213</v>
      </c>
      <c r="H20" s="17">
        <f t="shared" si="4"/>
        <v>15.295000000000002</v>
      </c>
      <c r="I20" s="17">
        <f t="shared" si="5"/>
        <v>2.000000000000135E-2</v>
      </c>
      <c r="J20" s="19">
        <f t="shared" si="6"/>
        <v>1.3093289689035253E-3</v>
      </c>
      <c r="K20" s="21" t="s">
        <v>39</v>
      </c>
      <c r="L20" s="23">
        <v>207</v>
      </c>
      <c r="M20" s="25">
        <v>14.315000000000001</v>
      </c>
    </row>
    <row r="21" spans="1:13">
      <c r="A21" s="7">
        <v>14</v>
      </c>
      <c r="B21" s="9">
        <f t="shared" si="0"/>
        <v>16.45</v>
      </c>
      <c r="C21" s="11">
        <f t="shared" si="1"/>
        <v>220.07142857142856</v>
      </c>
      <c r="D21" s="13">
        <f t="shared" si="2"/>
        <v>220</v>
      </c>
      <c r="E21" s="47">
        <f>0</f>
        <v>0</v>
      </c>
      <c r="F21" s="47">
        <f>0</f>
        <v>0</v>
      </c>
      <c r="G21" s="47">
        <f t="shared" si="3"/>
        <v>220</v>
      </c>
      <c r="H21" s="17">
        <f t="shared" si="4"/>
        <v>16.438333333333333</v>
      </c>
      <c r="I21" s="17">
        <f t="shared" si="5"/>
        <v>-1.1666666666666714E-2</v>
      </c>
      <c r="J21" s="19">
        <f t="shared" si="6"/>
        <v>7.0921985815603124E-4</v>
      </c>
      <c r="K21" s="21" t="s">
        <v>39</v>
      </c>
      <c r="L21" s="23">
        <v>223</v>
      </c>
      <c r="M21" s="25">
        <v>16.928333333333335</v>
      </c>
    </row>
    <row r="22" spans="1:13">
      <c r="A22" s="7">
        <v>15</v>
      </c>
      <c r="B22" s="9">
        <f t="shared" si="0"/>
        <v>17.625</v>
      </c>
      <c r="C22" s="11">
        <f t="shared" si="1"/>
        <v>228.95017793594306</v>
      </c>
      <c r="D22" s="13">
        <f t="shared" si="2"/>
        <v>229</v>
      </c>
      <c r="E22" s="47">
        <f>0</f>
        <v>0</v>
      </c>
      <c r="F22" s="47">
        <f>0</f>
        <v>0</v>
      </c>
      <c r="G22" s="47">
        <f t="shared" si="3"/>
        <v>229</v>
      </c>
      <c r="H22" s="17">
        <f t="shared" si="4"/>
        <v>17.630833333333335</v>
      </c>
      <c r="I22" s="17">
        <f t="shared" si="5"/>
        <v>5.8333333333351334E-3</v>
      </c>
      <c r="J22" s="19">
        <f t="shared" si="6"/>
        <v>3.3096926713958202E-4</v>
      </c>
      <c r="K22" s="21" t="s">
        <v>39</v>
      </c>
      <c r="L22" s="23">
        <v>239</v>
      </c>
      <c r="M22" s="25">
        <v>18.801666666666666</v>
      </c>
    </row>
    <row r="23" spans="1:13">
      <c r="A23" s="7">
        <v>16</v>
      </c>
      <c r="B23" s="9">
        <f t="shared" si="0"/>
        <v>18.8</v>
      </c>
      <c r="C23" s="11">
        <f t="shared" si="1"/>
        <v>238.98576512455517</v>
      </c>
      <c r="D23" s="13">
        <f t="shared" si="2"/>
        <v>239</v>
      </c>
      <c r="E23" s="47">
        <f>0</f>
        <v>0</v>
      </c>
      <c r="F23" s="47">
        <f>0</f>
        <v>0</v>
      </c>
      <c r="G23" s="47">
        <f t="shared" si="3"/>
        <v>239</v>
      </c>
      <c r="H23" s="17">
        <f t="shared" si="4"/>
        <v>18.801666666666666</v>
      </c>
      <c r="I23" s="17">
        <f t="shared" si="5"/>
        <v>1.6666666666651508E-3</v>
      </c>
      <c r="J23" s="19">
        <f t="shared" si="6"/>
        <v>8.8652482269422915E-5</v>
      </c>
      <c r="K23" s="21" t="s">
        <v>39</v>
      </c>
      <c r="L23" s="24">
        <v>255</v>
      </c>
      <c r="M23" s="26">
        <v>23.5</v>
      </c>
    </row>
    <row r="24" spans="1:13">
      <c r="A24" s="7">
        <v>17</v>
      </c>
      <c r="B24" s="9">
        <f t="shared" si="0"/>
        <v>19.975000000000001</v>
      </c>
      <c r="C24" s="11">
        <f t="shared" si="1"/>
        <v>242.99574317133735</v>
      </c>
      <c r="D24" s="13">
        <f t="shared" si="2"/>
        <v>243</v>
      </c>
      <c r="E24" s="47">
        <f>0</f>
        <v>0</v>
      </c>
      <c r="F24" s="47">
        <f>0</f>
        <v>0</v>
      </c>
      <c r="G24" s="47">
        <f t="shared" si="3"/>
        <v>243</v>
      </c>
      <c r="H24" s="17">
        <f t="shared" si="4"/>
        <v>19.97625</v>
      </c>
      <c r="I24" s="17">
        <f t="shared" si="5"/>
        <v>1.2499999999988631E-3</v>
      </c>
      <c r="J24" s="19">
        <f t="shared" si="6"/>
        <v>6.2578222778416167E-5</v>
      </c>
      <c r="K24" s="21" t="s">
        <v>39</v>
      </c>
    </row>
    <row r="25" spans="1:13">
      <c r="A25" s="7">
        <v>18</v>
      </c>
      <c r="B25" s="9">
        <f t="shared" si="0"/>
        <v>21.150000000000002</v>
      </c>
      <c r="C25" s="11">
        <f t="shared" si="1"/>
        <v>246.99716211422492</v>
      </c>
      <c r="D25" s="13">
        <f t="shared" si="2"/>
        <v>247</v>
      </c>
      <c r="E25" s="47">
        <f>0</f>
        <v>0</v>
      </c>
      <c r="F25" s="47">
        <f>0</f>
        <v>0</v>
      </c>
      <c r="G25" s="47">
        <f t="shared" si="3"/>
        <v>247</v>
      </c>
      <c r="H25" s="17">
        <f t="shared" si="4"/>
        <v>21.150833333333331</v>
      </c>
      <c r="I25" s="17">
        <f t="shared" si="5"/>
        <v>8.3333333332902271E-4</v>
      </c>
      <c r="J25" s="19">
        <f t="shared" si="6"/>
        <v>3.9401103230686651E-5</v>
      </c>
      <c r="K25" s="21" t="s">
        <v>39</v>
      </c>
    </row>
    <row r="26" spans="1:13">
      <c r="A26" s="7">
        <v>19</v>
      </c>
      <c r="B26" s="9">
        <f t="shared" si="0"/>
        <v>22.324999999999999</v>
      </c>
      <c r="C26" s="11">
        <f t="shared" si="1"/>
        <v>250.99858105711246</v>
      </c>
      <c r="D26" s="13">
        <f t="shared" si="2"/>
        <v>251</v>
      </c>
      <c r="E26" s="47">
        <f>0</f>
        <v>0</v>
      </c>
      <c r="F26" s="47">
        <f>0</f>
        <v>0</v>
      </c>
      <c r="G26" s="47">
        <f t="shared" si="3"/>
        <v>251</v>
      </c>
      <c r="H26" s="17">
        <f t="shared" si="4"/>
        <v>22.325416666666666</v>
      </c>
      <c r="I26" s="17">
        <f t="shared" si="5"/>
        <v>4.1666666666628771E-4</v>
      </c>
      <c r="J26" s="19">
        <f t="shared" si="6"/>
        <v>1.8663680477773248E-5</v>
      </c>
      <c r="K26" s="21" t="s">
        <v>39</v>
      </c>
    </row>
    <row r="27" spans="1:13">
      <c r="A27" s="8">
        <v>20</v>
      </c>
      <c r="B27" s="10">
        <f t="shared" si="0"/>
        <v>23.5</v>
      </c>
      <c r="C27" s="12">
        <f t="shared" si="1"/>
        <v>255</v>
      </c>
      <c r="D27" s="14">
        <f t="shared" si="2"/>
        <v>255</v>
      </c>
      <c r="E27" s="48">
        <f>0</f>
        <v>0</v>
      </c>
      <c r="F27" s="48">
        <f>0</f>
        <v>0</v>
      </c>
      <c r="G27" s="48">
        <f t="shared" si="3"/>
        <v>255</v>
      </c>
      <c r="H27" s="18">
        <f t="shared" si="4"/>
        <v>23.5</v>
      </c>
      <c r="I27" s="18">
        <f t="shared" si="5"/>
        <v>0</v>
      </c>
      <c r="J27" s="20">
        <f t="shared" si="6"/>
        <v>0</v>
      </c>
      <c r="K27" s="22" t="s">
        <v>39</v>
      </c>
    </row>
  </sheetData>
  <mergeCells count="7">
    <mergeCell ref="A4:M4"/>
    <mergeCell ref="A1:M1"/>
    <mergeCell ref="A2:M2"/>
    <mergeCell ref="A3:B3"/>
    <mergeCell ref="D3:E3"/>
    <mergeCell ref="G3:H3"/>
    <mergeCell ref="J3:L3"/>
  </mergeCells>
  <phoneticPr fontId="12" type="noConversion"/>
  <conditionalFormatting sqref="J7:J27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9"/>
  <sheetViews>
    <sheetView showGridLines="0" tabSelected="1" topLeftCell="A172" workbookViewId="0">
      <selection activeCell="B16" sqref="B16:I16"/>
    </sheetView>
  </sheetViews>
  <sheetFormatPr defaultRowHeight="14.25"/>
  <cols>
    <col min="1" max="1" width="12" customWidth="1"/>
    <col min="2" max="2" width="16" customWidth="1"/>
    <col min="3" max="3" width="19" customWidth="1"/>
    <col min="4" max="4" width="17" customWidth="1"/>
    <col min="5" max="7" width="8" customWidth="1"/>
    <col min="8" max="8" width="16" customWidth="1"/>
    <col min="9" max="9" width="15" customWidth="1"/>
    <col min="10" max="11" width="12" customWidth="1"/>
    <col min="12" max="12" width="14" customWidth="1"/>
    <col min="13" max="13" width="19" customWidth="1"/>
  </cols>
  <sheetData>
    <row r="1" spans="1:13" ht="30" customHeight="1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 ht="33.950000000000003" customHeight="1">
      <c r="A2" s="80" t="s">
        <v>25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ht="24" customHeight="1">
      <c r="A3" s="73" t="s">
        <v>26</v>
      </c>
      <c r="B3" s="73"/>
      <c r="C3" s="3">
        <v>213.74999999999997</v>
      </c>
      <c r="D3" s="73" t="s">
        <v>10</v>
      </c>
      <c r="E3" s="73"/>
      <c r="F3" s="4">
        <v>182</v>
      </c>
      <c r="G3" s="73" t="s">
        <v>2</v>
      </c>
      <c r="H3" s="73"/>
      <c r="I3" s="3">
        <v>1.175</v>
      </c>
      <c r="J3" s="73" t="s">
        <v>27</v>
      </c>
      <c r="K3" s="73"/>
      <c r="L3" s="73"/>
      <c r="M3" s="4">
        <v>255</v>
      </c>
    </row>
    <row r="4" spans="1:13" ht="33.950000000000003" customHeight="1">
      <c r="A4" s="74" t="s">
        <v>28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6" spans="1:13" ht="42" customHeight="1">
      <c r="A6" s="5" t="s">
        <v>29</v>
      </c>
      <c r="B6" s="5" t="s">
        <v>30</v>
      </c>
      <c r="C6" s="5" t="s">
        <v>31</v>
      </c>
      <c r="D6" s="5" t="s">
        <v>32</v>
      </c>
      <c r="E6" s="5" t="s">
        <v>18</v>
      </c>
      <c r="F6" s="5" t="s">
        <v>19</v>
      </c>
      <c r="G6" s="5" t="s">
        <v>20</v>
      </c>
      <c r="H6" s="5" t="s">
        <v>33</v>
      </c>
      <c r="I6" s="5" t="s">
        <v>34</v>
      </c>
      <c r="J6" s="5" t="s">
        <v>35</v>
      </c>
      <c r="K6" s="5" t="s">
        <v>36</v>
      </c>
      <c r="L6" s="6" t="s">
        <v>37</v>
      </c>
      <c r="M6" s="6" t="s">
        <v>38</v>
      </c>
    </row>
    <row r="7" spans="1:13">
      <c r="A7" s="7">
        <v>0</v>
      </c>
      <c r="B7" s="9">
        <f t="shared" ref="B7:B38" si="0">MIN(A7*$I$3,$C$3)</f>
        <v>0</v>
      </c>
      <c r="C7" s="11">
        <f t="shared" ref="C7:C38" si="1">IF(B7&lt;=0,0,IF(B7&gt;=$C$3,255,INDEX($L$7:$L$23,MATCH(B7,$M$7:$M$23,1))+(B7-INDEX($M$7:$M$23,MATCH(B7,$M$7:$M$23,1)))*(INDEX($L$7:$L$23,MATCH(B7,$M$7:$M$23,1)+1)-INDEX($L$7:$L$23,MATCH(B7,$M$7:$M$23,1)))/(INDEX($M$7:$M$23,MATCH(B7,$M$7:$M$23,1)+1)-INDEX($M$7:$M$23,MATCH(B7,$M$7:$M$23,1)))))</f>
        <v>0</v>
      </c>
      <c r="D7" s="13">
        <f t="shared" ref="D7:D38" si="2">ROUND(C7,0)</f>
        <v>0</v>
      </c>
      <c r="E7" s="49">
        <f t="shared" ref="E7:E38" si="3">D7</f>
        <v>0</v>
      </c>
      <c r="F7" s="49">
        <f t="shared" ref="F7:F38" si="4">D7</f>
        <v>0</v>
      </c>
      <c r="G7" s="49">
        <f t="shared" ref="G7:G38" si="5">D7</f>
        <v>0</v>
      </c>
      <c r="H7" s="17">
        <f t="shared" ref="H7:H38" si="6">IF(D7&lt;=0,0,IF(D7&gt;=255,$C$3,INDEX($M$7:$M$23,MATCH(D7,$L$7:$L$23,1))+(D7-INDEX($L$7:$L$23,MATCH(D7,$L$7:$L$23,1)))*(INDEX($M$7:$M$23,MATCH(D7,$L$7:$L$23,1)+1)-INDEX($M$7:$M$23,MATCH(D7,$L$7:$L$23,1)))/(INDEX($L$7:$L$23,MATCH(D7,$L$7:$L$23,1)+1)-INDEX($L$7:$L$23,MATCH(D7,$L$7:$L$23,1)))))</f>
        <v>0</v>
      </c>
      <c r="I7" s="17">
        <f t="shared" ref="I7:I38" si="7">H7-B7</f>
        <v>0</v>
      </c>
      <c r="J7" s="19">
        <f t="shared" ref="J7:J38" si="8">IF(B7=0,0,ABS(I7/B7))</f>
        <v>0</v>
      </c>
      <c r="K7" s="21" t="s">
        <v>39</v>
      </c>
      <c r="L7" s="23">
        <v>0</v>
      </c>
      <c r="M7" s="25">
        <v>0</v>
      </c>
    </row>
    <row r="8" spans="1:13">
      <c r="A8" s="7">
        <v>1</v>
      </c>
      <c r="B8" s="9">
        <f t="shared" si="0"/>
        <v>1.175</v>
      </c>
      <c r="C8" s="11">
        <f t="shared" si="1"/>
        <v>16.850084110284264</v>
      </c>
      <c r="D8" s="13">
        <f t="shared" si="2"/>
        <v>17</v>
      </c>
      <c r="E8" s="49">
        <f t="shared" si="3"/>
        <v>17</v>
      </c>
      <c r="F8" s="49">
        <f t="shared" si="4"/>
        <v>17</v>
      </c>
      <c r="G8" s="49">
        <f t="shared" si="5"/>
        <v>17</v>
      </c>
      <c r="H8" s="17">
        <f t="shared" si="6"/>
        <v>1.1969083333333332</v>
      </c>
      <c r="I8" s="17">
        <f t="shared" si="7"/>
        <v>2.1908333333333196E-2</v>
      </c>
      <c r="J8" s="19">
        <f t="shared" si="8"/>
        <v>1.8645390070921867E-2</v>
      </c>
      <c r="K8" s="21" t="s">
        <v>39</v>
      </c>
      <c r="L8" s="23">
        <v>15</v>
      </c>
      <c r="M8" s="25">
        <v>0.90463333333333329</v>
      </c>
    </row>
    <row r="9" spans="1:13">
      <c r="A9" s="7">
        <v>2</v>
      </c>
      <c r="B9" s="9">
        <f t="shared" si="0"/>
        <v>2.35</v>
      </c>
      <c r="C9" s="11">
        <f t="shared" si="1"/>
        <v>24.890457046731104</v>
      </c>
      <c r="D9" s="13">
        <f t="shared" si="2"/>
        <v>25</v>
      </c>
      <c r="E9" s="49">
        <f t="shared" si="3"/>
        <v>25</v>
      </c>
      <c r="F9" s="49">
        <f t="shared" si="4"/>
        <v>25</v>
      </c>
      <c r="G9" s="49">
        <f t="shared" si="5"/>
        <v>25</v>
      </c>
      <c r="H9" s="17">
        <f t="shared" si="6"/>
        <v>2.3660083333333333</v>
      </c>
      <c r="I9" s="17">
        <f t="shared" si="7"/>
        <v>1.600833333333318E-2</v>
      </c>
      <c r="J9" s="19">
        <f t="shared" si="8"/>
        <v>6.8120567375885869E-3</v>
      </c>
      <c r="K9" s="21" t="s">
        <v>39</v>
      </c>
      <c r="L9" s="23">
        <v>31</v>
      </c>
      <c r="M9" s="25">
        <v>3.2428333333333335</v>
      </c>
    </row>
    <row r="10" spans="1:13">
      <c r="A10" s="7">
        <v>3</v>
      </c>
      <c r="B10" s="9">
        <f t="shared" si="0"/>
        <v>3.5250000000000004</v>
      </c>
      <c r="C10" s="11">
        <f t="shared" si="1"/>
        <v>31.999299074039918</v>
      </c>
      <c r="D10" s="13">
        <f t="shared" si="2"/>
        <v>32</v>
      </c>
      <c r="E10" s="49">
        <f t="shared" si="3"/>
        <v>32</v>
      </c>
      <c r="F10" s="49">
        <f t="shared" si="4"/>
        <v>32</v>
      </c>
      <c r="G10" s="49">
        <f t="shared" si="5"/>
        <v>32</v>
      </c>
      <c r="H10" s="17">
        <f t="shared" si="6"/>
        <v>3.5251979166666669</v>
      </c>
      <c r="I10" s="17">
        <f t="shared" si="7"/>
        <v>1.9791666666657548E-4</v>
      </c>
      <c r="J10" s="19">
        <f t="shared" si="8"/>
        <v>5.6146572103993039E-5</v>
      </c>
      <c r="K10" s="21" t="s">
        <v>39</v>
      </c>
      <c r="L10" s="23">
        <v>47</v>
      </c>
      <c r="M10" s="25">
        <v>7.7606666666666673</v>
      </c>
    </row>
    <row r="11" spans="1:13">
      <c r="A11" s="7">
        <v>4</v>
      </c>
      <c r="B11" s="9">
        <f t="shared" si="0"/>
        <v>4.7</v>
      </c>
      <c r="C11" s="11">
        <f t="shared" si="1"/>
        <v>36.160585826539268</v>
      </c>
      <c r="D11" s="13">
        <f t="shared" si="2"/>
        <v>36</v>
      </c>
      <c r="E11" s="49">
        <f t="shared" si="3"/>
        <v>36</v>
      </c>
      <c r="F11" s="49">
        <f t="shared" si="4"/>
        <v>36</v>
      </c>
      <c r="G11" s="49">
        <f t="shared" si="5"/>
        <v>36</v>
      </c>
      <c r="H11" s="17">
        <f t="shared" si="6"/>
        <v>4.6546562500000004</v>
      </c>
      <c r="I11" s="17">
        <f t="shared" si="7"/>
        <v>-4.5343749999999794E-2</v>
      </c>
      <c r="J11" s="19">
        <f t="shared" si="8"/>
        <v>9.6476063829786796E-3</v>
      </c>
      <c r="K11" s="21" t="s">
        <v>39</v>
      </c>
      <c r="L11" s="23">
        <v>63</v>
      </c>
      <c r="M11" s="25">
        <v>13.574999999999999</v>
      </c>
    </row>
    <row r="12" spans="1:13">
      <c r="A12" s="7">
        <v>5</v>
      </c>
      <c r="B12" s="9">
        <f t="shared" si="0"/>
        <v>5.875</v>
      </c>
      <c r="C12" s="11">
        <f t="shared" si="1"/>
        <v>40.321872579038626</v>
      </c>
      <c r="D12" s="13">
        <f t="shared" si="2"/>
        <v>40</v>
      </c>
      <c r="E12" s="49">
        <f t="shared" si="3"/>
        <v>40</v>
      </c>
      <c r="F12" s="49">
        <f t="shared" si="4"/>
        <v>40</v>
      </c>
      <c r="G12" s="49">
        <f t="shared" si="5"/>
        <v>40</v>
      </c>
      <c r="H12" s="17">
        <f t="shared" si="6"/>
        <v>5.7841145833333343</v>
      </c>
      <c r="I12" s="17">
        <f t="shared" si="7"/>
        <v>-9.0885416666665719E-2</v>
      </c>
      <c r="J12" s="19">
        <f t="shared" si="8"/>
        <v>1.5469858156028207E-2</v>
      </c>
      <c r="K12" s="21" t="s">
        <v>39</v>
      </c>
      <c r="L12" s="23">
        <v>79</v>
      </c>
      <c r="M12" s="25">
        <v>21.13</v>
      </c>
    </row>
    <row r="13" spans="1:13">
      <c r="A13" s="7">
        <v>6</v>
      </c>
      <c r="B13" s="9">
        <f t="shared" si="0"/>
        <v>7.0500000000000007</v>
      </c>
      <c r="C13" s="11">
        <f t="shared" si="1"/>
        <v>44.483159331537976</v>
      </c>
      <c r="D13" s="13">
        <f t="shared" si="2"/>
        <v>44</v>
      </c>
      <c r="E13" s="49">
        <f t="shared" si="3"/>
        <v>44</v>
      </c>
      <c r="F13" s="49">
        <f t="shared" si="4"/>
        <v>44</v>
      </c>
      <c r="G13" s="49">
        <f t="shared" si="5"/>
        <v>44</v>
      </c>
      <c r="H13" s="17">
        <f t="shared" si="6"/>
        <v>6.9135729166666673</v>
      </c>
      <c r="I13" s="17">
        <f t="shared" si="7"/>
        <v>-0.13642708333333342</v>
      </c>
      <c r="J13" s="19">
        <f t="shared" si="8"/>
        <v>1.9351359338061477E-2</v>
      </c>
      <c r="K13" s="21" t="s">
        <v>39</v>
      </c>
      <c r="L13" s="23">
        <v>95</v>
      </c>
      <c r="M13" s="25">
        <v>31.611666666666672</v>
      </c>
    </row>
    <row r="14" spans="1:13">
      <c r="A14" s="7">
        <v>7</v>
      </c>
      <c r="B14" s="9">
        <f t="shared" si="0"/>
        <v>8.2249999999999996</v>
      </c>
      <c r="C14" s="11">
        <f t="shared" si="1"/>
        <v>48.277761852892276</v>
      </c>
      <c r="D14" s="13">
        <f t="shared" si="2"/>
        <v>48</v>
      </c>
      <c r="E14" s="49">
        <f t="shared" si="3"/>
        <v>48</v>
      </c>
      <c r="F14" s="49">
        <f t="shared" si="4"/>
        <v>48</v>
      </c>
      <c r="G14" s="49">
        <f t="shared" si="5"/>
        <v>48</v>
      </c>
      <c r="H14" s="17">
        <f t="shared" si="6"/>
        <v>8.1240625000000009</v>
      </c>
      <c r="I14" s="17">
        <f t="shared" si="7"/>
        <v>-0.10093749999999879</v>
      </c>
      <c r="J14" s="19">
        <f t="shared" si="8"/>
        <v>1.2272036474163988E-2</v>
      </c>
      <c r="K14" s="21" t="s">
        <v>39</v>
      </c>
      <c r="L14" s="23">
        <v>111</v>
      </c>
      <c r="M14" s="25">
        <v>42.443333333333335</v>
      </c>
    </row>
    <row r="15" spans="1:13">
      <c r="A15" s="7">
        <v>8</v>
      </c>
      <c r="B15" s="9">
        <f t="shared" si="0"/>
        <v>9.4</v>
      </c>
      <c r="C15" s="11">
        <f t="shared" si="1"/>
        <v>51.511150604827151</v>
      </c>
      <c r="D15" s="13">
        <f t="shared" si="2"/>
        <v>52</v>
      </c>
      <c r="E15" s="49">
        <f t="shared" si="3"/>
        <v>52</v>
      </c>
      <c r="F15" s="49">
        <f t="shared" si="4"/>
        <v>52</v>
      </c>
      <c r="G15" s="49">
        <f t="shared" si="5"/>
        <v>52</v>
      </c>
      <c r="H15" s="17">
        <f t="shared" si="6"/>
        <v>9.5776458333333334</v>
      </c>
      <c r="I15" s="17">
        <f t="shared" si="7"/>
        <v>0.17764583333333306</v>
      </c>
      <c r="J15" s="19">
        <f t="shared" si="8"/>
        <v>1.8898492907801389E-2</v>
      </c>
      <c r="K15" s="21" t="s">
        <v>39</v>
      </c>
      <c r="L15" s="23">
        <v>127</v>
      </c>
      <c r="M15" s="25">
        <v>56.898333333333341</v>
      </c>
    </row>
    <row r="16" spans="1:13">
      <c r="A16" s="7">
        <v>9</v>
      </c>
      <c r="B16" s="9">
        <f t="shared" si="0"/>
        <v>10.575000000000001</v>
      </c>
      <c r="C16" s="11">
        <f t="shared" si="1"/>
        <v>54.744539356762026</v>
      </c>
      <c r="D16" s="13">
        <f t="shared" si="2"/>
        <v>55</v>
      </c>
      <c r="E16" s="49">
        <f t="shared" si="3"/>
        <v>55</v>
      </c>
      <c r="F16" s="49">
        <f t="shared" si="4"/>
        <v>55</v>
      </c>
      <c r="G16" s="49">
        <f t="shared" si="5"/>
        <v>55</v>
      </c>
      <c r="H16" s="17">
        <f t="shared" si="6"/>
        <v>10.667833333333334</v>
      </c>
      <c r="I16" s="17">
        <f t="shared" si="7"/>
        <v>9.2833333333333101E-2</v>
      </c>
      <c r="J16" s="19">
        <f t="shared" si="8"/>
        <v>8.7785657998423732E-3</v>
      </c>
      <c r="K16" s="21" t="s">
        <v>39</v>
      </c>
      <c r="L16" s="23">
        <v>143</v>
      </c>
      <c r="M16" s="25">
        <v>74.943333333333342</v>
      </c>
    </row>
    <row r="17" spans="1:13">
      <c r="A17" s="7">
        <v>10</v>
      </c>
      <c r="B17" s="9">
        <f t="shared" si="0"/>
        <v>11.75</v>
      </c>
      <c r="C17" s="11">
        <f t="shared" si="1"/>
        <v>57.977928108696901</v>
      </c>
      <c r="D17" s="13">
        <f t="shared" si="2"/>
        <v>58</v>
      </c>
      <c r="E17" s="49">
        <f t="shared" si="3"/>
        <v>58</v>
      </c>
      <c r="F17" s="49">
        <f t="shared" si="4"/>
        <v>58</v>
      </c>
      <c r="G17" s="49">
        <f t="shared" si="5"/>
        <v>58</v>
      </c>
      <c r="H17" s="17">
        <f t="shared" si="6"/>
        <v>11.758020833333333</v>
      </c>
      <c r="I17" s="17">
        <f t="shared" si="7"/>
        <v>8.0208333333331439E-3</v>
      </c>
      <c r="J17" s="19">
        <f t="shared" si="8"/>
        <v>6.8262411347516118E-4</v>
      </c>
      <c r="K17" s="21" t="s">
        <v>39</v>
      </c>
      <c r="L17" s="23">
        <v>159</v>
      </c>
      <c r="M17" s="25">
        <v>91.140000000000015</v>
      </c>
    </row>
    <row r="18" spans="1:13">
      <c r="A18" s="7">
        <v>11</v>
      </c>
      <c r="B18" s="9">
        <f t="shared" si="0"/>
        <v>12.925000000000001</v>
      </c>
      <c r="C18" s="11">
        <f t="shared" si="1"/>
        <v>61.211316860631776</v>
      </c>
      <c r="D18" s="13">
        <f t="shared" si="2"/>
        <v>61</v>
      </c>
      <c r="E18" s="49">
        <f t="shared" si="3"/>
        <v>61</v>
      </c>
      <c r="F18" s="49">
        <f t="shared" si="4"/>
        <v>61</v>
      </c>
      <c r="G18" s="49">
        <f t="shared" si="5"/>
        <v>61</v>
      </c>
      <c r="H18" s="17">
        <f t="shared" si="6"/>
        <v>12.848208333333332</v>
      </c>
      <c r="I18" s="17">
        <f t="shared" si="7"/>
        <v>-7.679166666666859E-2</v>
      </c>
      <c r="J18" s="19">
        <f t="shared" si="8"/>
        <v>5.9413281753708767E-3</v>
      </c>
      <c r="K18" s="21" t="s">
        <v>39</v>
      </c>
      <c r="L18" s="23">
        <v>175</v>
      </c>
      <c r="M18" s="25">
        <v>108.35</v>
      </c>
    </row>
    <row r="19" spans="1:13">
      <c r="A19" s="7">
        <v>12</v>
      </c>
      <c r="B19" s="9">
        <f t="shared" si="0"/>
        <v>14.100000000000001</v>
      </c>
      <c r="C19" s="11">
        <f t="shared" si="1"/>
        <v>64.111846459298476</v>
      </c>
      <c r="D19" s="13">
        <f t="shared" si="2"/>
        <v>64</v>
      </c>
      <c r="E19" s="49">
        <f t="shared" si="3"/>
        <v>64</v>
      </c>
      <c r="F19" s="49">
        <f t="shared" si="4"/>
        <v>64</v>
      </c>
      <c r="G19" s="49">
        <f t="shared" si="5"/>
        <v>64</v>
      </c>
      <c r="H19" s="17">
        <f t="shared" si="6"/>
        <v>14.0471875</v>
      </c>
      <c r="I19" s="17">
        <f t="shared" si="7"/>
        <v>-5.2812500000001705E-2</v>
      </c>
      <c r="J19" s="19">
        <f t="shared" si="8"/>
        <v>3.7455673758866456E-3</v>
      </c>
      <c r="K19" s="21" t="s">
        <v>39</v>
      </c>
      <c r="L19" s="23">
        <v>191</v>
      </c>
      <c r="M19" s="25">
        <v>127.03333333333333</v>
      </c>
    </row>
    <row r="20" spans="1:13">
      <c r="A20" s="7">
        <v>13</v>
      </c>
      <c r="B20" s="9">
        <f t="shared" si="0"/>
        <v>15.275</v>
      </c>
      <c r="C20" s="11">
        <f t="shared" si="1"/>
        <v>66.600264725347458</v>
      </c>
      <c r="D20" s="13">
        <f t="shared" si="2"/>
        <v>67</v>
      </c>
      <c r="E20" s="49">
        <f t="shared" si="3"/>
        <v>67</v>
      </c>
      <c r="F20" s="49">
        <f t="shared" si="4"/>
        <v>67</v>
      </c>
      <c r="G20" s="49">
        <f t="shared" si="5"/>
        <v>67</v>
      </c>
      <c r="H20" s="17">
        <f t="shared" si="6"/>
        <v>15.463749999999999</v>
      </c>
      <c r="I20" s="17">
        <f t="shared" si="7"/>
        <v>0.18874999999999886</v>
      </c>
      <c r="J20" s="19">
        <f t="shared" si="8"/>
        <v>1.2356792144026112E-2</v>
      </c>
      <c r="K20" s="21" t="s">
        <v>39</v>
      </c>
      <c r="L20" s="23">
        <v>207</v>
      </c>
      <c r="M20" s="25">
        <v>152.81666666666666</v>
      </c>
    </row>
    <row r="21" spans="1:13">
      <c r="A21" s="7">
        <v>14</v>
      </c>
      <c r="B21" s="9">
        <f t="shared" si="0"/>
        <v>16.45</v>
      </c>
      <c r="C21" s="11">
        <f t="shared" si="1"/>
        <v>69.088682991396425</v>
      </c>
      <c r="D21" s="13">
        <f t="shared" si="2"/>
        <v>69</v>
      </c>
      <c r="E21" s="49">
        <f t="shared" si="3"/>
        <v>69</v>
      </c>
      <c r="F21" s="49">
        <f t="shared" si="4"/>
        <v>69</v>
      </c>
      <c r="G21" s="49">
        <f t="shared" si="5"/>
        <v>69</v>
      </c>
      <c r="H21" s="17">
        <f t="shared" si="6"/>
        <v>16.408124999999998</v>
      </c>
      <c r="I21" s="17">
        <f t="shared" si="7"/>
        <v>-4.1875000000000995E-2</v>
      </c>
      <c r="J21" s="19">
        <f t="shared" si="8"/>
        <v>2.5455927051672338E-3</v>
      </c>
      <c r="K21" s="21" t="s">
        <v>39</v>
      </c>
      <c r="L21" s="23">
        <v>223</v>
      </c>
      <c r="M21" s="25">
        <v>173.76666666666668</v>
      </c>
    </row>
    <row r="22" spans="1:13">
      <c r="A22" s="7">
        <v>15</v>
      </c>
      <c r="B22" s="9">
        <f t="shared" si="0"/>
        <v>17.625</v>
      </c>
      <c r="C22" s="11">
        <f t="shared" si="1"/>
        <v>71.577101257445406</v>
      </c>
      <c r="D22" s="13">
        <f t="shared" si="2"/>
        <v>72</v>
      </c>
      <c r="E22" s="49">
        <f t="shared" si="3"/>
        <v>72</v>
      </c>
      <c r="F22" s="49">
        <f t="shared" si="4"/>
        <v>72</v>
      </c>
      <c r="G22" s="49">
        <f t="shared" si="5"/>
        <v>72</v>
      </c>
      <c r="H22" s="17">
        <f t="shared" si="6"/>
        <v>17.8246875</v>
      </c>
      <c r="I22" s="17">
        <f t="shared" si="7"/>
        <v>0.19968749999999957</v>
      </c>
      <c r="J22" s="19">
        <f t="shared" si="8"/>
        <v>1.1329787234042529E-2</v>
      </c>
      <c r="K22" s="21" t="s">
        <v>39</v>
      </c>
      <c r="L22" s="23">
        <v>239</v>
      </c>
      <c r="M22" s="25">
        <v>200.15000000000003</v>
      </c>
    </row>
    <row r="23" spans="1:13">
      <c r="A23" s="7">
        <v>16</v>
      </c>
      <c r="B23" s="9">
        <f t="shared" si="0"/>
        <v>18.8</v>
      </c>
      <c r="C23" s="11">
        <f t="shared" si="1"/>
        <v>74.065519523494373</v>
      </c>
      <c r="D23" s="13">
        <f t="shared" si="2"/>
        <v>74</v>
      </c>
      <c r="E23" s="49">
        <f t="shared" si="3"/>
        <v>74</v>
      </c>
      <c r="F23" s="49">
        <f t="shared" si="4"/>
        <v>74</v>
      </c>
      <c r="G23" s="49">
        <f t="shared" si="5"/>
        <v>74</v>
      </c>
      <c r="H23" s="17">
        <f t="shared" si="6"/>
        <v>18.769062499999997</v>
      </c>
      <c r="I23" s="17">
        <f t="shared" si="7"/>
        <v>-3.0937500000003837E-2</v>
      </c>
      <c r="J23" s="19">
        <f t="shared" si="8"/>
        <v>1.6456117021278636E-3</v>
      </c>
      <c r="K23" s="21" t="s">
        <v>39</v>
      </c>
      <c r="L23" s="24">
        <v>255</v>
      </c>
      <c r="M23" s="26">
        <v>213.74999999999997</v>
      </c>
    </row>
    <row r="24" spans="1:13">
      <c r="A24" s="7">
        <v>17</v>
      </c>
      <c r="B24" s="9">
        <f t="shared" si="0"/>
        <v>19.975000000000001</v>
      </c>
      <c r="C24" s="11">
        <f t="shared" si="1"/>
        <v>76.553937789543355</v>
      </c>
      <c r="D24" s="13">
        <f t="shared" si="2"/>
        <v>77</v>
      </c>
      <c r="E24" s="49">
        <f t="shared" si="3"/>
        <v>77</v>
      </c>
      <c r="F24" s="49">
        <f t="shared" si="4"/>
        <v>77</v>
      </c>
      <c r="G24" s="49">
        <f t="shared" si="5"/>
        <v>77</v>
      </c>
      <c r="H24" s="17">
        <f t="shared" si="6"/>
        <v>20.185624999999998</v>
      </c>
      <c r="I24" s="17">
        <f t="shared" si="7"/>
        <v>0.21062499999999673</v>
      </c>
      <c r="J24" s="19">
        <f t="shared" si="8"/>
        <v>1.0544430538172552E-2</v>
      </c>
      <c r="K24" s="21" t="s">
        <v>39</v>
      </c>
    </row>
    <row r="25" spans="1:13">
      <c r="A25" s="7">
        <v>18</v>
      </c>
      <c r="B25" s="9">
        <f t="shared" si="0"/>
        <v>21.150000000000002</v>
      </c>
      <c r="C25" s="11">
        <f t="shared" si="1"/>
        <v>79.030529495945302</v>
      </c>
      <c r="D25" s="13">
        <f t="shared" si="2"/>
        <v>79</v>
      </c>
      <c r="E25" s="49">
        <f t="shared" si="3"/>
        <v>79</v>
      </c>
      <c r="F25" s="49">
        <f t="shared" si="4"/>
        <v>79</v>
      </c>
      <c r="G25" s="49">
        <f t="shared" si="5"/>
        <v>79</v>
      </c>
      <c r="H25" s="17">
        <f t="shared" si="6"/>
        <v>21.13</v>
      </c>
      <c r="I25" s="17">
        <f t="shared" si="7"/>
        <v>-2.0000000000003126E-2</v>
      </c>
      <c r="J25" s="19">
        <f t="shared" si="8"/>
        <v>9.4562647754151889E-4</v>
      </c>
      <c r="K25" s="21" t="s">
        <v>39</v>
      </c>
    </row>
    <row r="26" spans="1:13">
      <c r="A26" s="7">
        <v>19</v>
      </c>
      <c r="B26" s="9">
        <f t="shared" si="0"/>
        <v>22.324999999999999</v>
      </c>
      <c r="C26" s="11">
        <f t="shared" si="1"/>
        <v>80.824137382731749</v>
      </c>
      <c r="D26" s="13">
        <f t="shared" si="2"/>
        <v>81</v>
      </c>
      <c r="E26" s="49">
        <f t="shared" si="3"/>
        <v>81</v>
      </c>
      <c r="F26" s="49">
        <f t="shared" si="4"/>
        <v>81</v>
      </c>
      <c r="G26" s="49">
        <f t="shared" si="5"/>
        <v>81</v>
      </c>
      <c r="H26" s="17">
        <f t="shared" si="6"/>
        <v>22.440208333333334</v>
      </c>
      <c r="I26" s="17">
        <f t="shared" si="7"/>
        <v>0.11520833333333513</v>
      </c>
      <c r="J26" s="19">
        <f t="shared" si="8"/>
        <v>5.1605076521090767E-3</v>
      </c>
      <c r="K26" s="21" t="s">
        <v>39</v>
      </c>
    </row>
    <row r="27" spans="1:13">
      <c r="A27" s="7">
        <v>20</v>
      </c>
      <c r="B27" s="9">
        <f t="shared" si="0"/>
        <v>23.5</v>
      </c>
      <c r="C27" s="11">
        <f t="shared" si="1"/>
        <v>82.61774526951821</v>
      </c>
      <c r="D27" s="13">
        <f t="shared" si="2"/>
        <v>83</v>
      </c>
      <c r="E27" s="49">
        <f t="shared" si="3"/>
        <v>83</v>
      </c>
      <c r="F27" s="49">
        <f t="shared" si="4"/>
        <v>83</v>
      </c>
      <c r="G27" s="49">
        <f t="shared" si="5"/>
        <v>83</v>
      </c>
      <c r="H27" s="17">
        <f t="shared" si="6"/>
        <v>23.750416666666666</v>
      </c>
      <c r="I27" s="17">
        <f t="shared" si="7"/>
        <v>0.25041666666666629</v>
      </c>
      <c r="J27" s="19">
        <f t="shared" si="8"/>
        <v>1.0656028368794311E-2</v>
      </c>
      <c r="K27" s="21" t="s">
        <v>39</v>
      </c>
    </row>
    <row r="28" spans="1:13" ht="15">
      <c r="A28" s="51">
        <v>21</v>
      </c>
      <c r="B28" s="52">
        <f t="shared" si="0"/>
        <v>24.675000000000001</v>
      </c>
      <c r="C28" s="53">
        <f t="shared" si="1"/>
        <v>84.411353156304656</v>
      </c>
      <c r="D28" s="54">
        <f t="shared" si="2"/>
        <v>84</v>
      </c>
      <c r="E28" s="55">
        <f t="shared" si="3"/>
        <v>84</v>
      </c>
      <c r="F28" s="55">
        <f t="shared" si="4"/>
        <v>84</v>
      </c>
      <c r="G28" s="55">
        <f t="shared" si="5"/>
        <v>84</v>
      </c>
      <c r="H28" s="56">
        <f t="shared" si="6"/>
        <v>24.405520833333334</v>
      </c>
      <c r="I28" s="56">
        <f t="shared" si="7"/>
        <v>-0.26947916666666671</v>
      </c>
      <c r="J28" s="57">
        <f t="shared" si="8"/>
        <v>1.0921141506247891E-2</v>
      </c>
      <c r="K28" s="58" t="s">
        <v>40</v>
      </c>
    </row>
    <row r="29" spans="1:13" ht="15">
      <c r="A29" s="7">
        <v>22</v>
      </c>
      <c r="B29" s="9">
        <f t="shared" si="0"/>
        <v>25.85</v>
      </c>
      <c r="C29" s="11">
        <f t="shared" si="1"/>
        <v>86.204961043091117</v>
      </c>
      <c r="D29" s="13">
        <f t="shared" si="2"/>
        <v>86</v>
      </c>
      <c r="E29" s="49">
        <f t="shared" si="3"/>
        <v>86</v>
      </c>
      <c r="F29" s="49">
        <f t="shared" si="4"/>
        <v>86</v>
      </c>
      <c r="G29" s="49">
        <f t="shared" si="5"/>
        <v>86</v>
      </c>
      <c r="H29" s="17">
        <f t="shared" si="6"/>
        <v>25.715729166666669</v>
      </c>
      <c r="I29" s="17">
        <f t="shared" si="7"/>
        <v>-0.13427083333333201</v>
      </c>
      <c r="J29" s="19">
        <f t="shared" si="8"/>
        <v>5.1942295293358606E-3</v>
      </c>
      <c r="K29" s="35" t="s">
        <v>40</v>
      </c>
    </row>
    <row r="30" spans="1:13" ht="15">
      <c r="A30" s="7">
        <v>23</v>
      </c>
      <c r="B30" s="9">
        <f t="shared" si="0"/>
        <v>27.025000000000002</v>
      </c>
      <c r="C30" s="11">
        <f t="shared" si="1"/>
        <v>87.998568929877564</v>
      </c>
      <c r="D30" s="13">
        <f t="shared" si="2"/>
        <v>88</v>
      </c>
      <c r="E30" s="49">
        <f t="shared" si="3"/>
        <v>88</v>
      </c>
      <c r="F30" s="49">
        <f t="shared" si="4"/>
        <v>88</v>
      </c>
      <c r="G30" s="49">
        <f t="shared" si="5"/>
        <v>88</v>
      </c>
      <c r="H30" s="17">
        <f t="shared" si="6"/>
        <v>27.025937500000001</v>
      </c>
      <c r="I30" s="17">
        <f t="shared" si="7"/>
        <v>9.3749999999914735E-4</v>
      </c>
      <c r="J30" s="19">
        <f t="shared" si="8"/>
        <v>3.4690101757600272E-5</v>
      </c>
      <c r="K30" s="35" t="s">
        <v>40</v>
      </c>
    </row>
    <row r="31" spans="1:13" ht="15">
      <c r="A31" s="7">
        <v>24</v>
      </c>
      <c r="B31" s="9">
        <f t="shared" si="0"/>
        <v>28.200000000000003</v>
      </c>
      <c r="C31" s="11">
        <f t="shared" si="1"/>
        <v>89.792176816664011</v>
      </c>
      <c r="D31" s="13">
        <f t="shared" si="2"/>
        <v>90</v>
      </c>
      <c r="E31" s="49">
        <f t="shared" si="3"/>
        <v>90</v>
      </c>
      <c r="F31" s="49">
        <f t="shared" si="4"/>
        <v>90</v>
      </c>
      <c r="G31" s="49">
        <f t="shared" si="5"/>
        <v>90</v>
      </c>
      <c r="H31" s="17">
        <f t="shared" si="6"/>
        <v>28.336145833333337</v>
      </c>
      <c r="I31" s="17">
        <f t="shared" si="7"/>
        <v>0.13614583333333385</v>
      </c>
      <c r="J31" s="19">
        <f t="shared" si="8"/>
        <v>4.8278664302600655E-3</v>
      </c>
      <c r="K31" s="35" t="s">
        <v>40</v>
      </c>
    </row>
    <row r="32" spans="1:13" ht="15">
      <c r="A32" s="7">
        <v>25</v>
      </c>
      <c r="B32" s="9">
        <f t="shared" si="0"/>
        <v>29.375</v>
      </c>
      <c r="C32" s="11">
        <f t="shared" si="1"/>
        <v>91.585784703450457</v>
      </c>
      <c r="D32" s="13">
        <f t="shared" si="2"/>
        <v>92</v>
      </c>
      <c r="E32" s="49">
        <f t="shared" si="3"/>
        <v>92</v>
      </c>
      <c r="F32" s="49">
        <f t="shared" si="4"/>
        <v>92</v>
      </c>
      <c r="G32" s="49">
        <f t="shared" si="5"/>
        <v>92</v>
      </c>
      <c r="H32" s="17">
        <f t="shared" si="6"/>
        <v>29.646354166666669</v>
      </c>
      <c r="I32" s="17">
        <f t="shared" si="7"/>
        <v>0.27135416666666856</v>
      </c>
      <c r="J32" s="19">
        <f t="shared" si="8"/>
        <v>9.2375886524823335E-3</v>
      </c>
      <c r="K32" s="35" t="s">
        <v>40</v>
      </c>
    </row>
    <row r="33" spans="1:11" ht="15">
      <c r="A33" s="7">
        <v>26</v>
      </c>
      <c r="B33" s="9">
        <f t="shared" si="0"/>
        <v>30.55</v>
      </c>
      <c r="C33" s="11">
        <f t="shared" si="1"/>
        <v>93.379392590236918</v>
      </c>
      <c r="D33" s="13">
        <f t="shared" si="2"/>
        <v>93</v>
      </c>
      <c r="E33" s="49">
        <f t="shared" si="3"/>
        <v>93</v>
      </c>
      <c r="F33" s="49">
        <f t="shared" si="4"/>
        <v>93</v>
      </c>
      <c r="G33" s="49">
        <f t="shared" si="5"/>
        <v>93</v>
      </c>
      <c r="H33" s="17">
        <f t="shared" si="6"/>
        <v>30.301458333333336</v>
      </c>
      <c r="I33" s="17">
        <f t="shared" si="7"/>
        <v>-0.24854166666666444</v>
      </c>
      <c r="J33" s="19">
        <f t="shared" si="8"/>
        <v>8.1355701036551365E-3</v>
      </c>
      <c r="K33" s="35" t="s">
        <v>40</v>
      </c>
    </row>
    <row r="34" spans="1:11" ht="15">
      <c r="A34" s="7">
        <v>27</v>
      </c>
      <c r="B34" s="9">
        <f t="shared" si="0"/>
        <v>31.725000000000001</v>
      </c>
      <c r="C34" s="11">
        <f t="shared" si="1"/>
        <v>95.167410370826275</v>
      </c>
      <c r="D34" s="13">
        <f t="shared" si="2"/>
        <v>95</v>
      </c>
      <c r="E34" s="49">
        <f t="shared" si="3"/>
        <v>95</v>
      </c>
      <c r="F34" s="49">
        <f t="shared" si="4"/>
        <v>95</v>
      </c>
      <c r="G34" s="49">
        <f t="shared" si="5"/>
        <v>95</v>
      </c>
      <c r="H34" s="17">
        <f t="shared" si="6"/>
        <v>31.611666666666672</v>
      </c>
      <c r="I34" s="17">
        <f t="shared" si="7"/>
        <v>-0.11333333333332973</v>
      </c>
      <c r="J34" s="19">
        <f t="shared" si="8"/>
        <v>3.572366692933955E-3</v>
      </c>
      <c r="K34" s="35" t="s">
        <v>40</v>
      </c>
    </row>
    <row r="35" spans="1:11" ht="15">
      <c r="A35" s="7">
        <v>28</v>
      </c>
      <c r="B35" s="9">
        <f t="shared" si="0"/>
        <v>32.9</v>
      </c>
      <c r="C35" s="11">
        <f t="shared" si="1"/>
        <v>96.903062009539923</v>
      </c>
      <c r="D35" s="13">
        <f t="shared" si="2"/>
        <v>97</v>
      </c>
      <c r="E35" s="49">
        <f t="shared" si="3"/>
        <v>97</v>
      </c>
      <c r="F35" s="49">
        <f t="shared" si="4"/>
        <v>97</v>
      </c>
      <c r="G35" s="49">
        <f t="shared" si="5"/>
        <v>97</v>
      </c>
      <c r="H35" s="17">
        <f t="shared" si="6"/>
        <v>32.965625000000003</v>
      </c>
      <c r="I35" s="17">
        <f t="shared" si="7"/>
        <v>6.5625000000004263E-2</v>
      </c>
      <c r="J35" s="19">
        <f t="shared" si="8"/>
        <v>1.9946808510639593E-3</v>
      </c>
      <c r="K35" s="35" t="s">
        <v>40</v>
      </c>
    </row>
    <row r="36" spans="1:11" ht="15">
      <c r="A36" s="7">
        <v>29</v>
      </c>
      <c r="B36" s="9">
        <f t="shared" si="0"/>
        <v>34.075000000000003</v>
      </c>
      <c r="C36" s="11">
        <f t="shared" si="1"/>
        <v>98.638713648253571</v>
      </c>
      <c r="D36" s="13">
        <f t="shared" si="2"/>
        <v>99</v>
      </c>
      <c r="E36" s="49">
        <f t="shared" si="3"/>
        <v>99</v>
      </c>
      <c r="F36" s="49">
        <f t="shared" si="4"/>
        <v>99</v>
      </c>
      <c r="G36" s="49">
        <f t="shared" si="5"/>
        <v>99</v>
      </c>
      <c r="H36" s="17">
        <f t="shared" si="6"/>
        <v>34.319583333333341</v>
      </c>
      <c r="I36" s="17">
        <f t="shared" si="7"/>
        <v>0.24458333333333826</v>
      </c>
      <c r="J36" s="19">
        <f t="shared" si="8"/>
        <v>7.177794081682707E-3</v>
      </c>
      <c r="K36" s="35" t="s">
        <v>40</v>
      </c>
    </row>
    <row r="37" spans="1:11" ht="15">
      <c r="A37" s="7">
        <v>30</v>
      </c>
      <c r="B37" s="9">
        <f t="shared" si="0"/>
        <v>35.25</v>
      </c>
      <c r="C37" s="11">
        <f t="shared" si="1"/>
        <v>100.37436528696722</v>
      </c>
      <c r="D37" s="13">
        <f t="shared" si="2"/>
        <v>100</v>
      </c>
      <c r="E37" s="49">
        <f t="shared" si="3"/>
        <v>100</v>
      </c>
      <c r="F37" s="49">
        <f t="shared" si="4"/>
        <v>100</v>
      </c>
      <c r="G37" s="49">
        <f t="shared" si="5"/>
        <v>100</v>
      </c>
      <c r="H37" s="17">
        <f t="shared" si="6"/>
        <v>34.996562500000003</v>
      </c>
      <c r="I37" s="17">
        <f t="shared" si="7"/>
        <v>-0.25343749999999687</v>
      </c>
      <c r="J37" s="19">
        <f t="shared" si="8"/>
        <v>7.1897163120566493E-3</v>
      </c>
      <c r="K37" s="35" t="s">
        <v>40</v>
      </c>
    </row>
    <row r="38" spans="1:11" ht="15">
      <c r="A38" s="7">
        <v>31</v>
      </c>
      <c r="B38" s="9">
        <f t="shared" si="0"/>
        <v>36.425000000000004</v>
      </c>
      <c r="C38" s="11">
        <f t="shared" si="1"/>
        <v>102.11001692568088</v>
      </c>
      <c r="D38" s="13">
        <f t="shared" si="2"/>
        <v>102</v>
      </c>
      <c r="E38" s="49">
        <f t="shared" si="3"/>
        <v>102</v>
      </c>
      <c r="F38" s="49">
        <f t="shared" si="4"/>
        <v>102</v>
      </c>
      <c r="G38" s="49">
        <f t="shared" si="5"/>
        <v>102</v>
      </c>
      <c r="H38" s="17">
        <f t="shared" si="6"/>
        <v>36.350520833333334</v>
      </c>
      <c r="I38" s="17">
        <f t="shared" si="7"/>
        <v>-7.4479166666669983E-2</v>
      </c>
      <c r="J38" s="19">
        <f t="shared" si="8"/>
        <v>2.0447266071838017E-3</v>
      </c>
      <c r="K38" s="35" t="s">
        <v>40</v>
      </c>
    </row>
    <row r="39" spans="1:11" ht="15">
      <c r="A39" s="7">
        <v>32</v>
      </c>
      <c r="B39" s="9">
        <f t="shared" ref="B39:B70" si="9">MIN(A39*$I$3,$C$3)</f>
        <v>37.6</v>
      </c>
      <c r="C39" s="11">
        <f t="shared" ref="C39:C70" si="10">IF(B39&lt;=0,0,IF(B39&gt;=$C$3,255,INDEX($L$7:$L$23,MATCH(B39,$M$7:$M$23,1))+(B39-INDEX($M$7:$M$23,MATCH(B39,$M$7:$M$23,1)))*(INDEX($L$7:$L$23,MATCH(B39,$M$7:$M$23,1)+1)-INDEX($L$7:$L$23,MATCH(B39,$M$7:$M$23,1)))/(INDEX($M$7:$M$23,MATCH(B39,$M$7:$M$23,1)+1)-INDEX($M$7:$M$23,MATCH(B39,$M$7:$M$23,1)))))</f>
        <v>103.84566856439451</v>
      </c>
      <c r="D39" s="13">
        <f t="shared" ref="D39:D70" si="11">ROUND(C39,0)</f>
        <v>104</v>
      </c>
      <c r="E39" s="49">
        <f t="shared" ref="E39:E70" si="12">D39</f>
        <v>104</v>
      </c>
      <c r="F39" s="49">
        <f t="shared" ref="F39:F70" si="13">D39</f>
        <v>104</v>
      </c>
      <c r="G39" s="49">
        <f t="shared" ref="G39:G70" si="14">D39</f>
        <v>104</v>
      </c>
      <c r="H39" s="17">
        <f t="shared" ref="H39:H70" si="15">IF(D39&lt;=0,0,IF(D39&gt;=255,$C$3,INDEX($M$7:$M$23,MATCH(D39,$L$7:$L$23,1))+(D39-INDEX($L$7:$L$23,MATCH(D39,$L$7:$L$23,1)))*(INDEX($M$7:$M$23,MATCH(D39,$L$7:$L$23,1)+1)-INDEX($M$7:$M$23,MATCH(D39,$L$7:$L$23,1)))/(INDEX($L$7:$L$23,MATCH(D39,$L$7:$L$23,1)+1)-INDEX($L$7:$L$23,MATCH(D39,$L$7:$L$23,1)))))</f>
        <v>37.704479166666673</v>
      </c>
      <c r="I39" s="17">
        <f t="shared" ref="I39:I70" si="16">H39-B39</f>
        <v>0.10447916666667112</v>
      </c>
      <c r="J39" s="19">
        <f t="shared" ref="J39:J70" si="17">IF(B39=0,0,ABS(I39/B39))</f>
        <v>2.7787012411348701E-3</v>
      </c>
      <c r="K39" s="35" t="s">
        <v>40</v>
      </c>
    </row>
    <row r="40" spans="1:11" ht="15">
      <c r="A40" s="7">
        <v>33</v>
      </c>
      <c r="B40" s="9">
        <f t="shared" si="9"/>
        <v>38.774999999999999</v>
      </c>
      <c r="C40" s="11">
        <f t="shared" si="10"/>
        <v>105.58132020310816</v>
      </c>
      <c r="D40" s="13">
        <f t="shared" si="11"/>
        <v>106</v>
      </c>
      <c r="E40" s="49">
        <f t="shared" si="12"/>
        <v>106</v>
      </c>
      <c r="F40" s="49">
        <f t="shared" si="13"/>
        <v>106</v>
      </c>
      <c r="G40" s="49">
        <f t="shared" si="14"/>
        <v>106</v>
      </c>
      <c r="H40" s="17">
        <f t="shared" si="15"/>
        <v>39.058437500000004</v>
      </c>
      <c r="I40" s="17">
        <f t="shared" si="16"/>
        <v>0.28343750000000512</v>
      </c>
      <c r="J40" s="19">
        <f t="shared" si="17"/>
        <v>7.3098001289491977E-3</v>
      </c>
      <c r="K40" s="35" t="s">
        <v>40</v>
      </c>
    </row>
    <row r="41" spans="1:11" ht="15">
      <c r="A41" s="7">
        <v>34</v>
      </c>
      <c r="B41" s="9">
        <f t="shared" si="9"/>
        <v>39.950000000000003</v>
      </c>
      <c r="C41" s="11">
        <f t="shared" si="10"/>
        <v>107.31697184182183</v>
      </c>
      <c r="D41" s="13">
        <f t="shared" si="11"/>
        <v>107</v>
      </c>
      <c r="E41" s="49">
        <f t="shared" si="12"/>
        <v>107</v>
      </c>
      <c r="F41" s="49">
        <f t="shared" si="13"/>
        <v>107</v>
      </c>
      <c r="G41" s="49">
        <f t="shared" si="14"/>
        <v>107</v>
      </c>
      <c r="H41" s="17">
        <f t="shared" si="15"/>
        <v>39.735416666666666</v>
      </c>
      <c r="I41" s="17">
        <f t="shared" si="16"/>
        <v>-0.21458333333333712</v>
      </c>
      <c r="J41" s="19">
        <f t="shared" si="17"/>
        <v>5.3712974551523678E-3</v>
      </c>
      <c r="K41" s="35" t="s">
        <v>40</v>
      </c>
    </row>
    <row r="42" spans="1:11" ht="15">
      <c r="A42" s="7">
        <v>35</v>
      </c>
      <c r="B42" s="9">
        <f t="shared" si="9"/>
        <v>41.125</v>
      </c>
      <c r="C42" s="11">
        <f t="shared" si="10"/>
        <v>109.05262348053546</v>
      </c>
      <c r="D42" s="13">
        <f t="shared" si="11"/>
        <v>109</v>
      </c>
      <c r="E42" s="49">
        <f t="shared" si="12"/>
        <v>109</v>
      </c>
      <c r="F42" s="49">
        <f t="shared" si="13"/>
        <v>109</v>
      </c>
      <c r="G42" s="49">
        <f t="shared" si="14"/>
        <v>109</v>
      </c>
      <c r="H42" s="17">
        <f t="shared" si="15"/>
        <v>41.089375000000004</v>
      </c>
      <c r="I42" s="17">
        <f t="shared" si="16"/>
        <v>-3.5624999999996021E-2</v>
      </c>
      <c r="J42" s="19">
        <f t="shared" si="17"/>
        <v>8.6626139817619504E-4</v>
      </c>
      <c r="K42" s="35" t="s">
        <v>40</v>
      </c>
    </row>
    <row r="43" spans="1:11" ht="15">
      <c r="A43" s="7">
        <v>36</v>
      </c>
      <c r="B43" s="9">
        <f t="shared" si="9"/>
        <v>42.300000000000004</v>
      </c>
      <c r="C43" s="11">
        <f t="shared" si="10"/>
        <v>110.78827511924912</v>
      </c>
      <c r="D43" s="13">
        <f t="shared" si="11"/>
        <v>111</v>
      </c>
      <c r="E43" s="49">
        <f t="shared" si="12"/>
        <v>111</v>
      </c>
      <c r="F43" s="49">
        <f t="shared" si="13"/>
        <v>111</v>
      </c>
      <c r="G43" s="49">
        <f t="shared" si="14"/>
        <v>111</v>
      </c>
      <c r="H43" s="17">
        <f t="shared" si="15"/>
        <v>42.443333333333335</v>
      </c>
      <c r="I43" s="17">
        <f t="shared" si="16"/>
        <v>0.14333333333333087</v>
      </c>
      <c r="J43" s="19">
        <f t="shared" si="17"/>
        <v>3.3884948778565216E-3</v>
      </c>
      <c r="K43" s="35" t="s">
        <v>40</v>
      </c>
    </row>
    <row r="44" spans="1:11" ht="15">
      <c r="A44" s="7">
        <v>37</v>
      </c>
      <c r="B44" s="9">
        <f t="shared" si="9"/>
        <v>43.475000000000001</v>
      </c>
      <c r="C44" s="11">
        <f t="shared" si="10"/>
        <v>112.14193473999769</v>
      </c>
      <c r="D44" s="13">
        <f t="shared" si="11"/>
        <v>112</v>
      </c>
      <c r="E44" s="49">
        <f t="shared" si="12"/>
        <v>112</v>
      </c>
      <c r="F44" s="49">
        <f t="shared" si="13"/>
        <v>112</v>
      </c>
      <c r="G44" s="49">
        <f t="shared" si="14"/>
        <v>112</v>
      </c>
      <c r="H44" s="17">
        <f t="shared" si="15"/>
        <v>43.346770833333338</v>
      </c>
      <c r="I44" s="17">
        <f t="shared" si="16"/>
        <v>-0.12822916666666373</v>
      </c>
      <c r="J44" s="19">
        <f t="shared" si="17"/>
        <v>2.9494920452366583E-3</v>
      </c>
      <c r="K44" s="35" t="s">
        <v>40</v>
      </c>
    </row>
    <row r="45" spans="1:11" ht="15">
      <c r="A45" s="7">
        <v>38</v>
      </c>
      <c r="B45" s="9">
        <f t="shared" si="9"/>
        <v>44.65</v>
      </c>
      <c r="C45" s="11">
        <f t="shared" si="10"/>
        <v>113.44252277182059</v>
      </c>
      <c r="D45" s="13">
        <f t="shared" si="11"/>
        <v>113</v>
      </c>
      <c r="E45" s="49">
        <f t="shared" si="12"/>
        <v>113</v>
      </c>
      <c r="F45" s="49">
        <f t="shared" si="13"/>
        <v>113</v>
      </c>
      <c r="G45" s="49">
        <f t="shared" si="14"/>
        <v>113</v>
      </c>
      <c r="H45" s="17">
        <f t="shared" si="15"/>
        <v>44.250208333333333</v>
      </c>
      <c r="I45" s="17">
        <f t="shared" si="16"/>
        <v>-0.39979166666666544</v>
      </c>
      <c r="J45" s="19">
        <f t="shared" si="17"/>
        <v>8.9539007092198312E-3</v>
      </c>
      <c r="K45" s="35" t="s">
        <v>40</v>
      </c>
    </row>
    <row r="46" spans="1:11" ht="15">
      <c r="A46" s="7">
        <v>39</v>
      </c>
      <c r="B46" s="9">
        <f t="shared" si="9"/>
        <v>45.825000000000003</v>
      </c>
      <c r="C46" s="11">
        <f t="shared" si="10"/>
        <v>114.74311080364349</v>
      </c>
      <c r="D46" s="13">
        <f t="shared" si="11"/>
        <v>115</v>
      </c>
      <c r="E46" s="49">
        <f t="shared" si="12"/>
        <v>115</v>
      </c>
      <c r="F46" s="49">
        <f t="shared" si="13"/>
        <v>115</v>
      </c>
      <c r="G46" s="49">
        <f t="shared" si="14"/>
        <v>115</v>
      </c>
      <c r="H46" s="17">
        <f t="shared" si="15"/>
        <v>46.057083333333338</v>
      </c>
      <c r="I46" s="17">
        <f t="shared" si="16"/>
        <v>0.23208333333333542</v>
      </c>
      <c r="J46" s="19">
        <f t="shared" si="17"/>
        <v>5.0645571922168118E-3</v>
      </c>
      <c r="K46" s="35" t="s">
        <v>40</v>
      </c>
    </row>
    <row r="47" spans="1:11" ht="15">
      <c r="A47" s="7">
        <v>40</v>
      </c>
      <c r="B47" s="9">
        <f t="shared" si="9"/>
        <v>47</v>
      </c>
      <c r="C47" s="11">
        <f t="shared" si="10"/>
        <v>116.04369883546639</v>
      </c>
      <c r="D47" s="13">
        <f t="shared" si="11"/>
        <v>116</v>
      </c>
      <c r="E47" s="49">
        <f t="shared" si="12"/>
        <v>116</v>
      </c>
      <c r="F47" s="49">
        <f t="shared" si="13"/>
        <v>116</v>
      </c>
      <c r="G47" s="49">
        <f t="shared" si="14"/>
        <v>116</v>
      </c>
      <c r="H47" s="17">
        <f t="shared" si="15"/>
        <v>46.960520833333334</v>
      </c>
      <c r="I47" s="17">
        <f t="shared" si="16"/>
        <v>-3.9479166666666288E-2</v>
      </c>
      <c r="J47" s="19">
        <f t="shared" si="17"/>
        <v>8.3998226950353805E-4</v>
      </c>
      <c r="K47" s="35" t="s">
        <v>40</v>
      </c>
    </row>
    <row r="48" spans="1:11" ht="15">
      <c r="A48" s="7">
        <v>41</v>
      </c>
      <c r="B48" s="9">
        <f t="shared" si="9"/>
        <v>48.175000000000004</v>
      </c>
      <c r="C48" s="11">
        <f t="shared" si="10"/>
        <v>117.34428686728928</v>
      </c>
      <c r="D48" s="13">
        <f t="shared" si="11"/>
        <v>117</v>
      </c>
      <c r="E48" s="49">
        <f t="shared" si="12"/>
        <v>117</v>
      </c>
      <c r="F48" s="49">
        <f t="shared" si="13"/>
        <v>117</v>
      </c>
      <c r="G48" s="49">
        <f t="shared" si="14"/>
        <v>117</v>
      </c>
      <c r="H48" s="17">
        <f t="shared" si="15"/>
        <v>47.863958333333336</v>
      </c>
      <c r="I48" s="17">
        <f t="shared" si="16"/>
        <v>-0.31104166666666799</v>
      </c>
      <c r="J48" s="19">
        <f t="shared" si="17"/>
        <v>6.4564954160180165E-3</v>
      </c>
      <c r="K48" s="35" t="s">
        <v>40</v>
      </c>
    </row>
    <row r="49" spans="1:11" ht="15">
      <c r="A49" s="7">
        <v>42</v>
      </c>
      <c r="B49" s="9">
        <f t="shared" si="9"/>
        <v>49.35</v>
      </c>
      <c r="C49" s="11">
        <f t="shared" si="10"/>
        <v>118.64487489911218</v>
      </c>
      <c r="D49" s="13">
        <f t="shared" si="11"/>
        <v>119</v>
      </c>
      <c r="E49" s="49">
        <f t="shared" si="12"/>
        <v>119</v>
      </c>
      <c r="F49" s="49">
        <f t="shared" si="13"/>
        <v>119</v>
      </c>
      <c r="G49" s="49">
        <f t="shared" si="14"/>
        <v>119</v>
      </c>
      <c r="H49" s="17">
        <f t="shared" si="15"/>
        <v>49.670833333333334</v>
      </c>
      <c r="I49" s="17">
        <f t="shared" si="16"/>
        <v>0.32083333333333286</v>
      </c>
      <c r="J49" s="19">
        <f t="shared" si="17"/>
        <v>6.501182033096917E-3</v>
      </c>
      <c r="K49" s="35" t="s">
        <v>40</v>
      </c>
    </row>
    <row r="50" spans="1:11" ht="15">
      <c r="A50" s="7">
        <v>43</v>
      </c>
      <c r="B50" s="9">
        <f t="shared" si="9"/>
        <v>50.524999999999999</v>
      </c>
      <c r="C50" s="11">
        <f t="shared" si="10"/>
        <v>119.94546293093508</v>
      </c>
      <c r="D50" s="13">
        <f t="shared" si="11"/>
        <v>120</v>
      </c>
      <c r="E50" s="49">
        <f t="shared" si="12"/>
        <v>120</v>
      </c>
      <c r="F50" s="49">
        <f t="shared" si="13"/>
        <v>120</v>
      </c>
      <c r="G50" s="49">
        <f t="shared" si="14"/>
        <v>120</v>
      </c>
      <c r="H50" s="17">
        <f t="shared" si="15"/>
        <v>50.574270833333337</v>
      </c>
      <c r="I50" s="17">
        <f t="shared" si="16"/>
        <v>4.927083333333826E-2</v>
      </c>
      <c r="J50" s="19">
        <f t="shared" si="17"/>
        <v>9.7517730496463658E-4</v>
      </c>
      <c r="K50" s="35" t="s">
        <v>40</v>
      </c>
    </row>
    <row r="51" spans="1:11" ht="15">
      <c r="A51" s="7">
        <v>44</v>
      </c>
      <c r="B51" s="9">
        <f t="shared" si="9"/>
        <v>51.7</v>
      </c>
      <c r="C51" s="11">
        <f t="shared" si="10"/>
        <v>121.24605096275798</v>
      </c>
      <c r="D51" s="13">
        <f t="shared" si="11"/>
        <v>121</v>
      </c>
      <c r="E51" s="49">
        <f t="shared" si="12"/>
        <v>121</v>
      </c>
      <c r="F51" s="49">
        <f t="shared" si="13"/>
        <v>121</v>
      </c>
      <c r="G51" s="49">
        <f t="shared" si="14"/>
        <v>121</v>
      </c>
      <c r="H51" s="17">
        <f t="shared" si="15"/>
        <v>51.477708333333339</v>
      </c>
      <c r="I51" s="17">
        <f t="shared" si="16"/>
        <v>-0.22229166666666345</v>
      </c>
      <c r="J51" s="19">
        <f t="shared" si="17"/>
        <v>4.2996453900708597E-3</v>
      </c>
      <c r="K51" s="35" t="s">
        <v>40</v>
      </c>
    </row>
    <row r="52" spans="1:11" ht="15">
      <c r="A52" s="7">
        <v>45</v>
      </c>
      <c r="B52" s="9">
        <f t="shared" si="9"/>
        <v>52.875</v>
      </c>
      <c r="C52" s="11">
        <f t="shared" si="10"/>
        <v>122.54663899458087</v>
      </c>
      <c r="D52" s="13">
        <f t="shared" si="11"/>
        <v>123</v>
      </c>
      <c r="E52" s="49">
        <f t="shared" si="12"/>
        <v>123</v>
      </c>
      <c r="F52" s="49">
        <f t="shared" si="13"/>
        <v>123</v>
      </c>
      <c r="G52" s="49">
        <f t="shared" si="14"/>
        <v>123</v>
      </c>
      <c r="H52" s="17">
        <f t="shared" si="15"/>
        <v>53.284583333333337</v>
      </c>
      <c r="I52" s="17">
        <f t="shared" si="16"/>
        <v>0.40958333333333741</v>
      </c>
      <c r="J52" s="19">
        <f t="shared" si="17"/>
        <v>7.7462568951931427E-3</v>
      </c>
      <c r="K52" s="35" t="s">
        <v>40</v>
      </c>
    </row>
    <row r="53" spans="1:11" ht="15">
      <c r="A53" s="7">
        <v>46</v>
      </c>
      <c r="B53" s="9">
        <f t="shared" si="9"/>
        <v>54.050000000000004</v>
      </c>
      <c r="C53" s="11">
        <f t="shared" si="10"/>
        <v>123.84722702640377</v>
      </c>
      <c r="D53" s="13">
        <f t="shared" si="11"/>
        <v>124</v>
      </c>
      <c r="E53" s="49">
        <f t="shared" si="12"/>
        <v>124</v>
      </c>
      <c r="F53" s="49">
        <f t="shared" si="13"/>
        <v>124</v>
      </c>
      <c r="G53" s="49">
        <f t="shared" si="14"/>
        <v>124</v>
      </c>
      <c r="H53" s="17">
        <f t="shared" si="15"/>
        <v>54.18802083333334</v>
      </c>
      <c r="I53" s="17">
        <f t="shared" si="16"/>
        <v>0.1380208333333357</v>
      </c>
      <c r="J53" s="19">
        <f t="shared" si="17"/>
        <v>2.5535769349368308E-3</v>
      </c>
      <c r="K53" s="35" t="s">
        <v>40</v>
      </c>
    </row>
    <row r="54" spans="1:11" ht="15">
      <c r="A54" s="7">
        <v>47</v>
      </c>
      <c r="B54" s="9">
        <f t="shared" si="9"/>
        <v>55.225000000000001</v>
      </c>
      <c r="C54" s="11">
        <f t="shared" si="10"/>
        <v>125.14781505822667</v>
      </c>
      <c r="D54" s="13">
        <f t="shared" si="11"/>
        <v>125</v>
      </c>
      <c r="E54" s="49">
        <f t="shared" si="12"/>
        <v>125</v>
      </c>
      <c r="F54" s="49">
        <f t="shared" si="13"/>
        <v>125</v>
      </c>
      <c r="G54" s="49">
        <f t="shared" si="14"/>
        <v>125</v>
      </c>
      <c r="H54" s="17">
        <f t="shared" si="15"/>
        <v>55.091458333333335</v>
      </c>
      <c r="I54" s="17">
        <f t="shared" si="16"/>
        <v>-0.133541666666666</v>
      </c>
      <c r="J54" s="19">
        <f t="shared" si="17"/>
        <v>2.4181379206277228E-3</v>
      </c>
      <c r="K54" s="35" t="s">
        <v>40</v>
      </c>
    </row>
    <row r="55" spans="1:11" ht="15">
      <c r="A55" s="7">
        <v>48</v>
      </c>
      <c r="B55" s="9">
        <f t="shared" si="9"/>
        <v>56.400000000000006</v>
      </c>
      <c r="C55" s="11">
        <f t="shared" si="10"/>
        <v>126.44840309004958</v>
      </c>
      <c r="D55" s="13">
        <f t="shared" si="11"/>
        <v>126</v>
      </c>
      <c r="E55" s="49">
        <f t="shared" si="12"/>
        <v>126</v>
      </c>
      <c r="F55" s="49">
        <f t="shared" si="13"/>
        <v>126</v>
      </c>
      <c r="G55" s="49">
        <f t="shared" si="14"/>
        <v>126</v>
      </c>
      <c r="H55" s="17">
        <f t="shared" si="15"/>
        <v>55.994895833333338</v>
      </c>
      <c r="I55" s="17">
        <f t="shared" si="16"/>
        <v>-0.40510416666666771</v>
      </c>
      <c r="J55" s="19">
        <f t="shared" si="17"/>
        <v>7.182697990543753E-3</v>
      </c>
      <c r="K55" s="35" t="s">
        <v>40</v>
      </c>
    </row>
    <row r="56" spans="1:11" ht="15">
      <c r="A56" s="7">
        <v>49</v>
      </c>
      <c r="B56" s="9">
        <f t="shared" si="9"/>
        <v>57.575000000000003</v>
      </c>
      <c r="C56" s="11">
        <f t="shared" si="10"/>
        <v>127.59998152766232</v>
      </c>
      <c r="D56" s="13">
        <f t="shared" si="11"/>
        <v>128</v>
      </c>
      <c r="E56" s="49">
        <f t="shared" si="12"/>
        <v>128</v>
      </c>
      <c r="F56" s="49">
        <f t="shared" si="13"/>
        <v>128</v>
      </c>
      <c r="G56" s="49">
        <f t="shared" si="14"/>
        <v>128</v>
      </c>
      <c r="H56" s="17">
        <f t="shared" si="15"/>
        <v>58.026145833333338</v>
      </c>
      <c r="I56" s="17">
        <f t="shared" si="16"/>
        <v>0.45114583333333513</v>
      </c>
      <c r="J56" s="19">
        <f t="shared" si="17"/>
        <v>7.8357938920249268E-3</v>
      </c>
      <c r="K56" s="35" t="s">
        <v>40</v>
      </c>
    </row>
    <row r="57" spans="1:11" ht="15">
      <c r="A57" s="7">
        <v>50</v>
      </c>
      <c r="B57" s="9">
        <f t="shared" si="9"/>
        <v>58.75</v>
      </c>
      <c r="C57" s="11">
        <f t="shared" si="10"/>
        <v>128.64182137249469</v>
      </c>
      <c r="D57" s="13">
        <f t="shared" si="11"/>
        <v>129</v>
      </c>
      <c r="E57" s="49">
        <f t="shared" si="12"/>
        <v>129</v>
      </c>
      <c r="F57" s="49">
        <f t="shared" si="13"/>
        <v>129</v>
      </c>
      <c r="G57" s="49">
        <f t="shared" si="14"/>
        <v>129</v>
      </c>
      <c r="H57" s="17">
        <f t="shared" si="15"/>
        <v>59.153958333333343</v>
      </c>
      <c r="I57" s="17">
        <f t="shared" si="16"/>
        <v>0.40395833333334252</v>
      </c>
      <c r="J57" s="19">
        <f t="shared" si="17"/>
        <v>6.8758865248228513E-3</v>
      </c>
      <c r="K57" s="35" t="s">
        <v>40</v>
      </c>
    </row>
    <row r="58" spans="1:11" ht="15">
      <c r="A58" s="7">
        <v>51</v>
      </c>
      <c r="B58" s="9">
        <f t="shared" si="9"/>
        <v>59.925000000000004</v>
      </c>
      <c r="C58" s="11">
        <f t="shared" si="10"/>
        <v>129.68366121732706</v>
      </c>
      <c r="D58" s="13">
        <f t="shared" si="11"/>
        <v>130</v>
      </c>
      <c r="E58" s="49">
        <f t="shared" si="12"/>
        <v>130</v>
      </c>
      <c r="F58" s="49">
        <f t="shared" si="13"/>
        <v>130</v>
      </c>
      <c r="G58" s="49">
        <f t="shared" si="14"/>
        <v>130</v>
      </c>
      <c r="H58" s="17">
        <f t="shared" si="15"/>
        <v>60.28177083333334</v>
      </c>
      <c r="I58" s="17">
        <f t="shared" si="16"/>
        <v>0.3567708333333357</v>
      </c>
      <c r="J58" s="19">
        <f t="shared" si="17"/>
        <v>5.9536225837853261E-3</v>
      </c>
      <c r="K58" s="35" t="s">
        <v>40</v>
      </c>
    </row>
    <row r="59" spans="1:11" ht="15">
      <c r="A59" s="7">
        <v>52</v>
      </c>
      <c r="B59" s="9">
        <f t="shared" si="9"/>
        <v>61.1</v>
      </c>
      <c r="C59" s="11">
        <f t="shared" si="10"/>
        <v>130.72550106215942</v>
      </c>
      <c r="D59" s="13">
        <f t="shared" si="11"/>
        <v>131</v>
      </c>
      <c r="E59" s="49">
        <f t="shared" si="12"/>
        <v>131</v>
      </c>
      <c r="F59" s="49">
        <f t="shared" si="13"/>
        <v>131</v>
      </c>
      <c r="G59" s="49">
        <f t="shared" si="14"/>
        <v>131</v>
      </c>
      <c r="H59" s="17">
        <f t="shared" si="15"/>
        <v>61.409583333333345</v>
      </c>
      <c r="I59" s="17">
        <f t="shared" si="16"/>
        <v>0.30958333333334309</v>
      </c>
      <c r="J59" s="19">
        <f t="shared" si="17"/>
        <v>5.0668303327879392E-3</v>
      </c>
      <c r="K59" s="35" t="s">
        <v>40</v>
      </c>
    </row>
    <row r="60" spans="1:11" ht="15">
      <c r="A60" s="7">
        <v>53</v>
      </c>
      <c r="B60" s="9">
        <f t="shared" si="9"/>
        <v>62.275000000000006</v>
      </c>
      <c r="C60" s="11">
        <f t="shared" si="10"/>
        <v>131.76734090699179</v>
      </c>
      <c r="D60" s="13">
        <f t="shared" si="11"/>
        <v>132</v>
      </c>
      <c r="E60" s="49">
        <f t="shared" si="12"/>
        <v>132</v>
      </c>
      <c r="F60" s="49">
        <f t="shared" si="13"/>
        <v>132</v>
      </c>
      <c r="G60" s="49">
        <f t="shared" si="14"/>
        <v>132</v>
      </c>
      <c r="H60" s="17">
        <f t="shared" si="15"/>
        <v>62.537395833333342</v>
      </c>
      <c r="I60" s="17">
        <f t="shared" si="16"/>
        <v>0.26239583333333627</v>
      </c>
      <c r="J60" s="19">
        <f t="shared" si="17"/>
        <v>4.2135019403185267E-3</v>
      </c>
      <c r="K60" s="35" t="s">
        <v>40</v>
      </c>
    </row>
    <row r="61" spans="1:11" ht="15">
      <c r="A61" s="7">
        <v>54</v>
      </c>
      <c r="B61" s="9">
        <f t="shared" si="9"/>
        <v>63.45</v>
      </c>
      <c r="C61" s="11">
        <f t="shared" si="10"/>
        <v>132.80918075182413</v>
      </c>
      <c r="D61" s="13">
        <f t="shared" si="11"/>
        <v>133</v>
      </c>
      <c r="E61" s="49">
        <f t="shared" si="12"/>
        <v>133</v>
      </c>
      <c r="F61" s="49">
        <f t="shared" si="13"/>
        <v>133</v>
      </c>
      <c r="G61" s="49">
        <f t="shared" si="14"/>
        <v>133</v>
      </c>
      <c r="H61" s="17">
        <f t="shared" si="15"/>
        <v>63.665208333333339</v>
      </c>
      <c r="I61" s="17">
        <f t="shared" si="16"/>
        <v>0.21520833333333655</v>
      </c>
      <c r="J61" s="19">
        <f t="shared" si="17"/>
        <v>3.3917783031258714E-3</v>
      </c>
      <c r="K61" s="35" t="s">
        <v>40</v>
      </c>
    </row>
    <row r="62" spans="1:11" ht="15">
      <c r="A62" s="7">
        <v>55</v>
      </c>
      <c r="B62" s="9">
        <f t="shared" si="9"/>
        <v>64.625</v>
      </c>
      <c r="C62" s="11">
        <f t="shared" si="10"/>
        <v>133.8510205966565</v>
      </c>
      <c r="D62" s="13">
        <f t="shared" si="11"/>
        <v>134</v>
      </c>
      <c r="E62" s="49">
        <f t="shared" si="12"/>
        <v>134</v>
      </c>
      <c r="F62" s="49">
        <f t="shared" si="13"/>
        <v>134</v>
      </c>
      <c r="G62" s="49">
        <f t="shared" si="14"/>
        <v>134</v>
      </c>
      <c r="H62" s="17">
        <f t="shared" si="15"/>
        <v>64.793020833333344</v>
      </c>
      <c r="I62" s="17">
        <f t="shared" si="16"/>
        <v>0.16802083333334394</v>
      </c>
      <c r="J62" s="19">
        <f t="shared" si="17"/>
        <v>2.5999355254676046E-3</v>
      </c>
      <c r="K62" s="35" t="s">
        <v>40</v>
      </c>
    </row>
    <row r="63" spans="1:11" ht="15">
      <c r="A63" s="7">
        <v>56</v>
      </c>
      <c r="B63" s="9">
        <f t="shared" si="9"/>
        <v>65.8</v>
      </c>
      <c r="C63" s="11">
        <f t="shared" si="10"/>
        <v>134.89286044148886</v>
      </c>
      <c r="D63" s="13">
        <f t="shared" si="11"/>
        <v>135</v>
      </c>
      <c r="E63" s="49">
        <f t="shared" si="12"/>
        <v>135</v>
      </c>
      <c r="F63" s="49">
        <f t="shared" si="13"/>
        <v>135</v>
      </c>
      <c r="G63" s="49">
        <f t="shared" si="14"/>
        <v>135</v>
      </c>
      <c r="H63" s="17">
        <f t="shared" si="15"/>
        <v>65.920833333333348</v>
      </c>
      <c r="I63" s="17">
        <f t="shared" si="16"/>
        <v>0.12083333333335133</v>
      </c>
      <c r="J63" s="19">
        <f t="shared" si="17"/>
        <v>1.8363728470114184E-3</v>
      </c>
      <c r="K63" s="35" t="s">
        <v>40</v>
      </c>
    </row>
    <row r="64" spans="1:11" ht="15">
      <c r="A64" s="7">
        <v>57</v>
      </c>
      <c r="B64" s="9">
        <f t="shared" si="9"/>
        <v>66.975000000000009</v>
      </c>
      <c r="C64" s="11">
        <f t="shared" si="10"/>
        <v>135.93470028632123</v>
      </c>
      <c r="D64" s="13">
        <f t="shared" si="11"/>
        <v>136</v>
      </c>
      <c r="E64" s="49">
        <f t="shared" si="12"/>
        <v>136</v>
      </c>
      <c r="F64" s="49">
        <f t="shared" si="13"/>
        <v>136</v>
      </c>
      <c r="G64" s="49">
        <f t="shared" si="14"/>
        <v>136</v>
      </c>
      <c r="H64" s="17">
        <f t="shared" si="15"/>
        <v>67.048645833333339</v>
      </c>
      <c r="I64" s="17">
        <f t="shared" si="16"/>
        <v>7.3645833333330302E-2</v>
      </c>
      <c r="J64" s="19">
        <f t="shared" si="17"/>
        <v>1.099601841483095E-3</v>
      </c>
      <c r="K64" s="35" t="s">
        <v>40</v>
      </c>
    </row>
    <row r="65" spans="1:11" ht="15">
      <c r="A65" s="7">
        <v>58</v>
      </c>
      <c r="B65" s="9">
        <f t="shared" si="9"/>
        <v>68.150000000000006</v>
      </c>
      <c r="C65" s="11">
        <f t="shared" si="10"/>
        <v>136.9765401311536</v>
      </c>
      <c r="D65" s="13">
        <f t="shared" si="11"/>
        <v>137</v>
      </c>
      <c r="E65" s="49">
        <f t="shared" si="12"/>
        <v>137</v>
      </c>
      <c r="F65" s="49">
        <f t="shared" si="13"/>
        <v>137</v>
      </c>
      <c r="G65" s="49">
        <f t="shared" si="14"/>
        <v>137</v>
      </c>
      <c r="H65" s="17">
        <f t="shared" si="15"/>
        <v>68.176458333333343</v>
      </c>
      <c r="I65" s="17">
        <f t="shared" si="16"/>
        <v>2.6458333333337691E-2</v>
      </c>
      <c r="J65" s="19">
        <f t="shared" si="17"/>
        <v>3.8823673269754497E-4</v>
      </c>
      <c r="K65" s="35" t="s">
        <v>40</v>
      </c>
    </row>
    <row r="66" spans="1:11" ht="15">
      <c r="A66" s="7">
        <v>59</v>
      </c>
      <c r="B66" s="9">
        <f t="shared" si="9"/>
        <v>69.325000000000003</v>
      </c>
      <c r="C66" s="11">
        <f t="shared" si="10"/>
        <v>138.01837997598597</v>
      </c>
      <c r="D66" s="13">
        <f t="shared" si="11"/>
        <v>138</v>
      </c>
      <c r="E66" s="49">
        <f t="shared" si="12"/>
        <v>138</v>
      </c>
      <c r="F66" s="49">
        <f t="shared" si="13"/>
        <v>138</v>
      </c>
      <c r="G66" s="49">
        <f t="shared" si="14"/>
        <v>138</v>
      </c>
      <c r="H66" s="17">
        <f t="shared" si="15"/>
        <v>69.304270833333334</v>
      </c>
      <c r="I66" s="17">
        <f t="shared" si="16"/>
        <v>-2.072916666666913E-2</v>
      </c>
      <c r="J66" s="19">
        <f t="shared" si="17"/>
        <v>2.9901430460395426E-4</v>
      </c>
      <c r="K66" s="35" t="s">
        <v>40</v>
      </c>
    </row>
    <row r="67" spans="1:11" ht="15">
      <c r="A67" s="7">
        <v>60</v>
      </c>
      <c r="B67" s="9">
        <f t="shared" si="9"/>
        <v>70.5</v>
      </c>
      <c r="C67" s="11">
        <f t="shared" si="10"/>
        <v>139.0602198208183</v>
      </c>
      <c r="D67" s="13">
        <f t="shared" si="11"/>
        <v>139</v>
      </c>
      <c r="E67" s="49">
        <f t="shared" si="12"/>
        <v>139</v>
      </c>
      <c r="F67" s="49">
        <f t="shared" si="13"/>
        <v>139</v>
      </c>
      <c r="G67" s="49">
        <f t="shared" si="14"/>
        <v>139</v>
      </c>
      <c r="H67" s="17">
        <f t="shared" si="15"/>
        <v>70.432083333333338</v>
      </c>
      <c r="I67" s="17">
        <f t="shared" si="16"/>
        <v>-6.791666666666174E-2</v>
      </c>
      <c r="J67" s="19">
        <f t="shared" si="17"/>
        <v>9.6335697399520194E-4</v>
      </c>
      <c r="K67" s="35" t="s">
        <v>40</v>
      </c>
    </row>
    <row r="68" spans="1:11" ht="15">
      <c r="A68" s="7">
        <v>61</v>
      </c>
      <c r="B68" s="9">
        <f t="shared" si="9"/>
        <v>71.674999999999997</v>
      </c>
      <c r="C68" s="11">
        <f t="shared" si="10"/>
        <v>140.10205966565067</v>
      </c>
      <c r="D68" s="13">
        <f t="shared" si="11"/>
        <v>140</v>
      </c>
      <c r="E68" s="49">
        <f t="shared" si="12"/>
        <v>140</v>
      </c>
      <c r="F68" s="49">
        <f t="shared" si="13"/>
        <v>140</v>
      </c>
      <c r="G68" s="49">
        <f t="shared" si="14"/>
        <v>140</v>
      </c>
      <c r="H68" s="17">
        <f t="shared" si="15"/>
        <v>71.559895833333343</v>
      </c>
      <c r="I68" s="17">
        <f t="shared" si="16"/>
        <v>-0.11510416666665435</v>
      </c>
      <c r="J68" s="19">
        <f t="shared" si="17"/>
        <v>1.6059179165211629E-3</v>
      </c>
      <c r="K68" s="35" t="s">
        <v>40</v>
      </c>
    </row>
    <row r="69" spans="1:11" ht="15">
      <c r="A69" s="7">
        <v>62</v>
      </c>
      <c r="B69" s="9">
        <f t="shared" si="9"/>
        <v>72.850000000000009</v>
      </c>
      <c r="C69" s="11">
        <f t="shared" si="10"/>
        <v>141.14389951048304</v>
      </c>
      <c r="D69" s="13">
        <f t="shared" si="11"/>
        <v>141</v>
      </c>
      <c r="E69" s="49">
        <f t="shared" si="12"/>
        <v>141</v>
      </c>
      <c r="F69" s="49">
        <f t="shared" si="13"/>
        <v>141</v>
      </c>
      <c r="G69" s="49">
        <f t="shared" si="14"/>
        <v>141</v>
      </c>
      <c r="H69" s="17">
        <f t="shared" si="15"/>
        <v>72.687708333333347</v>
      </c>
      <c r="I69" s="17">
        <f t="shared" si="16"/>
        <v>-0.16229166666666117</v>
      </c>
      <c r="J69" s="19">
        <f t="shared" si="17"/>
        <v>2.2277510867077716E-3</v>
      </c>
      <c r="K69" s="35" t="s">
        <v>40</v>
      </c>
    </row>
    <row r="70" spans="1:11" ht="15">
      <c r="A70" s="7">
        <v>63</v>
      </c>
      <c r="B70" s="9">
        <f t="shared" si="9"/>
        <v>74.025000000000006</v>
      </c>
      <c r="C70" s="11">
        <f t="shared" si="10"/>
        <v>142.18573935531541</v>
      </c>
      <c r="D70" s="13">
        <f t="shared" si="11"/>
        <v>142</v>
      </c>
      <c r="E70" s="49">
        <f t="shared" si="12"/>
        <v>142</v>
      </c>
      <c r="F70" s="49">
        <f t="shared" si="13"/>
        <v>142</v>
      </c>
      <c r="G70" s="49">
        <f t="shared" si="14"/>
        <v>142</v>
      </c>
      <c r="H70" s="17">
        <f t="shared" si="15"/>
        <v>73.815520833333338</v>
      </c>
      <c r="I70" s="17">
        <f t="shared" si="16"/>
        <v>-0.20947916666666799</v>
      </c>
      <c r="J70" s="19">
        <f t="shared" si="17"/>
        <v>2.8298435213329007E-3</v>
      </c>
      <c r="K70" s="35" t="s">
        <v>40</v>
      </c>
    </row>
    <row r="71" spans="1:11" ht="15">
      <c r="A71" s="7">
        <v>64</v>
      </c>
      <c r="B71" s="9">
        <f t="shared" ref="B71:B102" si="18">MIN(A71*$I$3,$C$3)</f>
        <v>75.2</v>
      </c>
      <c r="C71" s="11">
        <f t="shared" ref="C71:C102" si="19">IF(B71&lt;=0,0,IF(B71&gt;=$C$3,255,INDEX($L$7:$L$23,MATCH(B71,$M$7:$M$23,1))+(B71-INDEX($M$7:$M$23,MATCH(B71,$M$7:$M$23,1)))*(INDEX($L$7:$L$23,MATCH(B71,$M$7:$M$23,1)+1)-INDEX($L$7:$L$23,MATCH(B71,$M$7:$M$23,1)))/(INDEX($M$7:$M$23,MATCH(B71,$M$7:$M$23,1)+1)-INDEX($M$7:$M$23,MATCH(B71,$M$7:$M$23,1)))))</f>
        <v>143.25355011319201</v>
      </c>
      <c r="D71" s="13">
        <f t="shared" ref="D71:D102" si="20">ROUND(C71,0)</f>
        <v>143</v>
      </c>
      <c r="E71" s="49">
        <f t="shared" ref="E71:E102" si="21">D71</f>
        <v>143</v>
      </c>
      <c r="F71" s="49">
        <f t="shared" ref="F71:F102" si="22">D71</f>
        <v>143</v>
      </c>
      <c r="G71" s="49">
        <f t="shared" ref="G71:G102" si="23">D71</f>
        <v>143</v>
      </c>
      <c r="H71" s="17">
        <f t="shared" ref="H71:H102" si="24">IF(D71&lt;=0,0,IF(D71&gt;=255,$C$3,INDEX($M$7:$M$23,MATCH(D71,$L$7:$L$23,1))+(D71-INDEX($L$7:$L$23,MATCH(D71,$L$7:$L$23,1)))*(INDEX($M$7:$M$23,MATCH(D71,$L$7:$L$23,1)+1)-INDEX($M$7:$M$23,MATCH(D71,$L$7:$L$23,1)))/(INDEX($L$7:$L$23,MATCH(D71,$L$7:$L$23,1)+1)-INDEX($L$7:$L$23,MATCH(D71,$L$7:$L$23,1)))))</f>
        <v>74.943333333333342</v>
      </c>
      <c r="I71" s="17">
        <f t="shared" ref="I71:I102" si="25">H71-B71</f>
        <v>-0.2566666666666606</v>
      </c>
      <c r="J71" s="19">
        <f t="shared" ref="J71:J102" si="26">IF(B71=0,0,ABS(I71/B71))</f>
        <v>3.4131205673758056E-3</v>
      </c>
      <c r="K71" s="35" t="s">
        <v>40</v>
      </c>
    </row>
    <row r="72" spans="1:11" ht="15">
      <c r="A72" s="7">
        <v>65</v>
      </c>
      <c r="B72" s="9">
        <f t="shared" si="18"/>
        <v>76.375</v>
      </c>
      <c r="C72" s="11">
        <f t="shared" si="19"/>
        <v>144.41428277423338</v>
      </c>
      <c r="D72" s="13">
        <f t="shared" si="20"/>
        <v>144</v>
      </c>
      <c r="E72" s="49">
        <f t="shared" si="21"/>
        <v>144</v>
      </c>
      <c r="F72" s="49">
        <f t="shared" si="22"/>
        <v>144</v>
      </c>
      <c r="G72" s="49">
        <f t="shared" si="23"/>
        <v>144</v>
      </c>
      <c r="H72" s="17">
        <f t="shared" si="24"/>
        <v>75.955625000000012</v>
      </c>
      <c r="I72" s="17">
        <f t="shared" si="25"/>
        <v>-0.41937499999998806</v>
      </c>
      <c r="J72" s="19">
        <f t="shared" si="26"/>
        <v>5.4909983633386322E-3</v>
      </c>
      <c r="K72" s="35" t="s">
        <v>40</v>
      </c>
    </row>
    <row r="73" spans="1:11" ht="15">
      <c r="A73" s="7">
        <v>66</v>
      </c>
      <c r="B73" s="9">
        <f t="shared" si="18"/>
        <v>77.55</v>
      </c>
      <c r="C73" s="11">
        <f t="shared" si="19"/>
        <v>145.57501543527474</v>
      </c>
      <c r="D73" s="13">
        <f t="shared" si="20"/>
        <v>146</v>
      </c>
      <c r="E73" s="49">
        <f t="shared" si="21"/>
        <v>146</v>
      </c>
      <c r="F73" s="49">
        <f t="shared" si="22"/>
        <v>146</v>
      </c>
      <c r="G73" s="49">
        <f t="shared" si="23"/>
        <v>146</v>
      </c>
      <c r="H73" s="17">
        <f t="shared" si="24"/>
        <v>77.980208333333337</v>
      </c>
      <c r="I73" s="17">
        <f t="shared" si="25"/>
        <v>0.43020833333333997</v>
      </c>
      <c r="J73" s="19">
        <f t="shared" si="26"/>
        <v>5.5474962389856861E-3</v>
      </c>
      <c r="K73" s="35" t="s">
        <v>40</v>
      </c>
    </row>
    <row r="74" spans="1:11" ht="15">
      <c r="A74" s="7">
        <v>67</v>
      </c>
      <c r="B74" s="9">
        <f t="shared" si="18"/>
        <v>78.725000000000009</v>
      </c>
      <c r="C74" s="11">
        <f t="shared" si="19"/>
        <v>146.73574809631612</v>
      </c>
      <c r="D74" s="13">
        <f t="shared" si="20"/>
        <v>147</v>
      </c>
      <c r="E74" s="49">
        <f t="shared" si="21"/>
        <v>147</v>
      </c>
      <c r="F74" s="49">
        <f t="shared" si="22"/>
        <v>147</v>
      </c>
      <c r="G74" s="49">
        <f t="shared" si="23"/>
        <v>147</v>
      </c>
      <c r="H74" s="17">
        <f t="shared" si="24"/>
        <v>78.992500000000007</v>
      </c>
      <c r="I74" s="17">
        <f t="shared" si="25"/>
        <v>0.26749999999999829</v>
      </c>
      <c r="J74" s="19">
        <f t="shared" si="26"/>
        <v>3.3979040965385616E-3</v>
      </c>
      <c r="K74" s="35" t="s">
        <v>40</v>
      </c>
    </row>
    <row r="75" spans="1:11" ht="15">
      <c r="A75" s="7">
        <v>68</v>
      </c>
      <c r="B75" s="9">
        <f t="shared" si="18"/>
        <v>79.900000000000006</v>
      </c>
      <c r="C75" s="11">
        <f t="shared" si="19"/>
        <v>147.89648075735747</v>
      </c>
      <c r="D75" s="13">
        <f t="shared" si="20"/>
        <v>148</v>
      </c>
      <c r="E75" s="49">
        <f t="shared" si="21"/>
        <v>148</v>
      </c>
      <c r="F75" s="49">
        <f t="shared" si="22"/>
        <v>148</v>
      </c>
      <c r="G75" s="49">
        <f t="shared" si="23"/>
        <v>148</v>
      </c>
      <c r="H75" s="17">
        <f t="shared" si="24"/>
        <v>80.004791666666677</v>
      </c>
      <c r="I75" s="17">
        <f t="shared" si="25"/>
        <v>0.10479166666667084</v>
      </c>
      <c r="J75" s="19">
        <f t="shared" si="26"/>
        <v>1.3115352523988839E-3</v>
      </c>
      <c r="K75" s="35" t="s">
        <v>40</v>
      </c>
    </row>
    <row r="76" spans="1:11" ht="15">
      <c r="A76" s="7">
        <v>69</v>
      </c>
      <c r="B76" s="9">
        <f t="shared" si="18"/>
        <v>81.075000000000003</v>
      </c>
      <c r="C76" s="11">
        <f t="shared" si="19"/>
        <v>149.05721341839885</v>
      </c>
      <c r="D76" s="13">
        <f t="shared" si="20"/>
        <v>149</v>
      </c>
      <c r="E76" s="49">
        <f t="shared" si="21"/>
        <v>149</v>
      </c>
      <c r="F76" s="49">
        <f t="shared" si="22"/>
        <v>149</v>
      </c>
      <c r="G76" s="49">
        <f t="shared" si="23"/>
        <v>149</v>
      </c>
      <c r="H76" s="17">
        <f t="shared" si="24"/>
        <v>81.017083333333346</v>
      </c>
      <c r="I76" s="17">
        <f t="shared" si="25"/>
        <v>-5.7916666666656624E-2</v>
      </c>
      <c r="J76" s="19">
        <f t="shared" si="26"/>
        <v>7.1435913249036842E-4</v>
      </c>
      <c r="K76" s="35" t="s">
        <v>40</v>
      </c>
    </row>
    <row r="77" spans="1:11" ht="15">
      <c r="A77" s="7">
        <v>70</v>
      </c>
      <c r="B77" s="9">
        <f t="shared" si="18"/>
        <v>82.25</v>
      </c>
      <c r="C77" s="11">
        <f t="shared" si="19"/>
        <v>150.2179460794402</v>
      </c>
      <c r="D77" s="13">
        <f t="shared" si="20"/>
        <v>150</v>
      </c>
      <c r="E77" s="49">
        <f t="shared" si="21"/>
        <v>150</v>
      </c>
      <c r="F77" s="49">
        <f t="shared" si="22"/>
        <v>150</v>
      </c>
      <c r="G77" s="49">
        <f t="shared" si="23"/>
        <v>150</v>
      </c>
      <c r="H77" s="17">
        <f t="shared" si="24"/>
        <v>82.029375000000016</v>
      </c>
      <c r="I77" s="17">
        <f t="shared" si="25"/>
        <v>-0.22062499999998408</v>
      </c>
      <c r="J77" s="19">
        <f t="shared" si="26"/>
        <v>2.6823708206684996E-3</v>
      </c>
      <c r="K77" s="35" t="s">
        <v>40</v>
      </c>
    </row>
    <row r="78" spans="1:11" ht="15">
      <c r="A78" s="7">
        <v>71</v>
      </c>
      <c r="B78" s="9">
        <f t="shared" si="18"/>
        <v>83.424999999999997</v>
      </c>
      <c r="C78" s="11">
        <f t="shared" si="19"/>
        <v>151.37867874048158</v>
      </c>
      <c r="D78" s="13">
        <f t="shared" si="20"/>
        <v>151</v>
      </c>
      <c r="E78" s="49">
        <f t="shared" si="21"/>
        <v>151</v>
      </c>
      <c r="F78" s="49">
        <f t="shared" si="22"/>
        <v>151</v>
      </c>
      <c r="G78" s="49">
        <f t="shared" si="23"/>
        <v>151</v>
      </c>
      <c r="H78" s="17">
        <f t="shared" si="24"/>
        <v>83.041666666666686</v>
      </c>
      <c r="I78" s="17">
        <f t="shared" si="25"/>
        <v>-0.38333333333331154</v>
      </c>
      <c r="J78" s="19">
        <f t="shared" si="26"/>
        <v>4.5949455598838663E-3</v>
      </c>
      <c r="K78" s="35" t="s">
        <v>40</v>
      </c>
    </row>
    <row r="79" spans="1:11" ht="15">
      <c r="A79" s="7">
        <v>72</v>
      </c>
      <c r="B79" s="9">
        <f t="shared" si="18"/>
        <v>84.600000000000009</v>
      </c>
      <c r="C79" s="11">
        <f t="shared" si="19"/>
        <v>152.53941140152295</v>
      </c>
      <c r="D79" s="13">
        <f t="shared" si="20"/>
        <v>153</v>
      </c>
      <c r="E79" s="49">
        <f t="shared" si="21"/>
        <v>153</v>
      </c>
      <c r="F79" s="49">
        <f t="shared" si="22"/>
        <v>153</v>
      </c>
      <c r="G79" s="49">
        <f t="shared" si="23"/>
        <v>153</v>
      </c>
      <c r="H79" s="17">
        <f t="shared" si="24"/>
        <v>85.066250000000011</v>
      </c>
      <c r="I79" s="17">
        <f t="shared" si="25"/>
        <v>0.46625000000000227</v>
      </c>
      <c r="J79" s="19">
        <f t="shared" si="26"/>
        <v>5.51122931442083E-3</v>
      </c>
      <c r="K79" s="35" t="s">
        <v>40</v>
      </c>
    </row>
    <row r="80" spans="1:11" ht="15">
      <c r="A80" s="7">
        <v>73</v>
      </c>
      <c r="B80" s="9">
        <f t="shared" si="18"/>
        <v>85.775000000000006</v>
      </c>
      <c r="C80" s="11">
        <f t="shared" si="19"/>
        <v>153.70014406256431</v>
      </c>
      <c r="D80" s="13">
        <f t="shared" si="20"/>
        <v>154</v>
      </c>
      <c r="E80" s="49">
        <f t="shared" si="21"/>
        <v>154</v>
      </c>
      <c r="F80" s="49">
        <f t="shared" si="22"/>
        <v>154</v>
      </c>
      <c r="G80" s="49">
        <f t="shared" si="23"/>
        <v>154</v>
      </c>
      <c r="H80" s="17">
        <f t="shared" si="24"/>
        <v>86.07854166666668</v>
      </c>
      <c r="I80" s="17">
        <f t="shared" si="25"/>
        <v>0.30354166666667481</v>
      </c>
      <c r="J80" s="19">
        <f t="shared" si="26"/>
        <v>3.5388127853882225E-3</v>
      </c>
      <c r="K80" s="35" t="s">
        <v>40</v>
      </c>
    </row>
    <row r="81" spans="1:11" ht="15">
      <c r="A81" s="7">
        <v>74</v>
      </c>
      <c r="B81" s="9">
        <f t="shared" si="18"/>
        <v>86.95</v>
      </c>
      <c r="C81" s="11">
        <f t="shared" si="19"/>
        <v>154.86087672360566</v>
      </c>
      <c r="D81" s="13">
        <f t="shared" si="20"/>
        <v>155</v>
      </c>
      <c r="E81" s="49">
        <f t="shared" si="21"/>
        <v>155</v>
      </c>
      <c r="F81" s="49">
        <f t="shared" si="22"/>
        <v>155</v>
      </c>
      <c r="G81" s="49">
        <f t="shared" si="23"/>
        <v>155</v>
      </c>
      <c r="H81" s="17">
        <f t="shared" si="24"/>
        <v>87.09083333333335</v>
      </c>
      <c r="I81" s="17">
        <f t="shared" si="25"/>
        <v>0.14083333333334735</v>
      </c>
      <c r="J81" s="19">
        <f t="shared" si="26"/>
        <v>1.6197048111943342E-3</v>
      </c>
      <c r="K81" s="35" t="s">
        <v>40</v>
      </c>
    </row>
    <row r="82" spans="1:11" ht="15">
      <c r="A82" s="7">
        <v>75</v>
      </c>
      <c r="B82" s="9">
        <f t="shared" si="18"/>
        <v>88.125</v>
      </c>
      <c r="C82" s="11">
        <f t="shared" si="19"/>
        <v>156.02160938464704</v>
      </c>
      <c r="D82" s="13">
        <f t="shared" si="20"/>
        <v>156</v>
      </c>
      <c r="E82" s="49">
        <f t="shared" si="21"/>
        <v>156</v>
      </c>
      <c r="F82" s="49">
        <f t="shared" si="22"/>
        <v>156</v>
      </c>
      <c r="G82" s="49">
        <f t="shared" si="23"/>
        <v>156</v>
      </c>
      <c r="H82" s="17">
        <f t="shared" si="24"/>
        <v>88.103125000000006</v>
      </c>
      <c r="I82" s="17">
        <f t="shared" si="25"/>
        <v>-2.1874999999994316E-2</v>
      </c>
      <c r="J82" s="19">
        <f t="shared" si="26"/>
        <v>2.4822695035454543E-4</v>
      </c>
      <c r="K82" s="35" t="s">
        <v>40</v>
      </c>
    </row>
    <row r="83" spans="1:11" ht="15">
      <c r="A83" s="7">
        <v>76</v>
      </c>
      <c r="B83" s="9">
        <f t="shared" si="18"/>
        <v>89.3</v>
      </c>
      <c r="C83" s="11">
        <f t="shared" si="19"/>
        <v>157.18234204568839</v>
      </c>
      <c r="D83" s="13">
        <f t="shared" si="20"/>
        <v>157</v>
      </c>
      <c r="E83" s="49">
        <f t="shared" si="21"/>
        <v>157</v>
      </c>
      <c r="F83" s="49">
        <f t="shared" si="22"/>
        <v>157</v>
      </c>
      <c r="G83" s="49">
        <f t="shared" si="23"/>
        <v>157</v>
      </c>
      <c r="H83" s="17">
        <f t="shared" si="24"/>
        <v>89.115416666666675</v>
      </c>
      <c r="I83" s="17">
        <f t="shared" si="25"/>
        <v>-0.18458333333332178</v>
      </c>
      <c r="J83" s="19">
        <f t="shared" si="26"/>
        <v>2.0670026129151376E-3</v>
      </c>
      <c r="K83" s="35" t="s">
        <v>40</v>
      </c>
    </row>
    <row r="84" spans="1:11" ht="15">
      <c r="A84" s="7">
        <v>77</v>
      </c>
      <c r="B84" s="9">
        <f t="shared" si="18"/>
        <v>90.475000000000009</v>
      </c>
      <c r="C84" s="11">
        <f t="shared" si="19"/>
        <v>158.34307470672977</v>
      </c>
      <c r="D84" s="13">
        <f t="shared" si="20"/>
        <v>158</v>
      </c>
      <c r="E84" s="49">
        <f t="shared" si="21"/>
        <v>158</v>
      </c>
      <c r="F84" s="49">
        <f t="shared" si="22"/>
        <v>158</v>
      </c>
      <c r="G84" s="49">
        <f t="shared" si="23"/>
        <v>158</v>
      </c>
      <c r="H84" s="17">
        <f t="shared" si="24"/>
        <v>90.127708333333345</v>
      </c>
      <c r="I84" s="17">
        <f t="shared" si="25"/>
        <v>-0.34729166666666345</v>
      </c>
      <c r="J84" s="19">
        <f t="shared" si="26"/>
        <v>3.8385373491756111E-3</v>
      </c>
      <c r="K84" s="35" t="s">
        <v>40</v>
      </c>
    </row>
    <row r="85" spans="1:11" ht="15">
      <c r="A85" s="7">
        <v>78</v>
      </c>
      <c r="B85" s="9">
        <f t="shared" si="18"/>
        <v>91.65</v>
      </c>
      <c r="C85" s="11">
        <f t="shared" si="19"/>
        <v>159.47414294015107</v>
      </c>
      <c r="D85" s="13">
        <f t="shared" si="20"/>
        <v>159</v>
      </c>
      <c r="E85" s="49">
        <f t="shared" si="21"/>
        <v>159</v>
      </c>
      <c r="F85" s="49">
        <f t="shared" si="22"/>
        <v>159</v>
      </c>
      <c r="G85" s="49">
        <f t="shared" si="23"/>
        <v>159</v>
      </c>
      <c r="H85" s="17">
        <f t="shared" si="24"/>
        <v>91.140000000000015</v>
      </c>
      <c r="I85" s="17">
        <f t="shared" si="25"/>
        <v>-0.50999999999999091</v>
      </c>
      <c r="J85" s="19">
        <f t="shared" si="26"/>
        <v>5.5646481178395074E-3</v>
      </c>
      <c r="K85" s="35" t="s">
        <v>40</v>
      </c>
    </row>
    <row r="86" spans="1:11" ht="15">
      <c r="A86" s="7">
        <v>79</v>
      </c>
      <c r="B86" s="9">
        <f t="shared" si="18"/>
        <v>92.825000000000003</v>
      </c>
      <c r="C86" s="11">
        <f t="shared" si="19"/>
        <v>160.56653108657756</v>
      </c>
      <c r="D86" s="13">
        <f t="shared" si="20"/>
        <v>161</v>
      </c>
      <c r="E86" s="49">
        <f t="shared" si="21"/>
        <v>161</v>
      </c>
      <c r="F86" s="49">
        <f t="shared" si="22"/>
        <v>161</v>
      </c>
      <c r="G86" s="49">
        <f t="shared" si="23"/>
        <v>161</v>
      </c>
      <c r="H86" s="17">
        <f t="shared" si="24"/>
        <v>93.291250000000019</v>
      </c>
      <c r="I86" s="17">
        <f t="shared" si="25"/>
        <v>0.46625000000001648</v>
      </c>
      <c r="J86" s="19">
        <f t="shared" si="26"/>
        <v>5.0228925397254667E-3</v>
      </c>
      <c r="K86" s="35" t="s">
        <v>40</v>
      </c>
    </row>
    <row r="87" spans="1:11" ht="15">
      <c r="A87" s="7">
        <v>80</v>
      </c>
      <c r="B87" s="9">
        <f t="shared" si="18"/>
        <v>94</v>
      </c>
      <c r="C87" s="11">
        <f t="shared" si="19"/>
        <v>161.65891923300407</v>
      </c>
      <c r="D87" s="13">
        <f t="shared" si="20"/>
        <v>162</v>
      </c>
      <c r="E87" s="49">
        <f t="shared" si="21"/>
        <v>162</v>
      </c>
      <c r="F87" s="49">
        <f t="shared" si="22"/>
        <v>162</v>
      </c>
      <c r="G87" s="49">
        <f t="shared" si="23"/>
        <v>162</v>
      </c>
      <c r="H87" s="17">
        <f t="shared" si="24"/>
        <v>94.366875000000007</v>
      </c>
      <c r="I87" s="17">
        <f t="shared" si="25"/>
        <v>0.36687500000000739</v>
      </c>
      <c r="J87" s="19">
        <f t="shared" si="26"/>
        <v>3.9029255319149724E-3</v>
      </c>
      <c r="K87" s="35" t="s">
        <v>40</v>
      </c>
    </row>
    <row r="88" spans="1:11" ht="15">
      <c r="A88" s="7">
        <v>81</v>
      </c>
      <c r="B88" s="9">
        <f t="shared" si="18"/>
        <v>95.174999999999997</v>
      </c>
      <c r="C88" s="11">
        <f t="shared" si="19"/>
        <v>162.75130737943056</v>
      </c>
      <c r="D88" s="13">
        <f t="shared" si="20"/>
        <v>163</v>
      </c>
      <c r="E88" s="49">
        <f t="shared" si="21"/>
        <v>163</v>
      </c>
      <c r="F88" s="49">
        <f t="shared" si="22"/>
        <v>163</v>
      </c>
      <c r="G88" s="49">
        <f t="shared" si="23"/>
        <v>163</v>
      </c>
      <c r="H88" s="17">
        <f t="shared" si="24"/>
        <v>95.44250000000001</v>
      </c>
      <c r="I88" s="17">
        <f t="shared" si="25"/>
        <v>0.26750000000001251</v>
      </c>
      <c r="J88" s="19">
        <f t="shared" si="26"/>
        <v>2.8106120304703178E-3</v>
      </c>
      <c r="K88" s="35" t="s">
        <v>40</v>
      </c>
    </row>
    <row r="89" spans="1:11" ht="15">
      <c r="A89" s="7">
        <v>82</v>
      </c>
      <c r="B89" s="9">
        <f t="shared" si="18"/>
        <v>96.350000000000009</v>
      </c>
      <c r="C89" s="11">
        <f t="shared" si="19"/>
        <v>163.84369552585707</v>
      </c>
      <c r="D89" s="13">
        <f t="shared" si="20"/>
        <v>164</v>
      </c>
      <c r="E89" s="49">
        <f t="shared" si="21"/>
        <v>164</v>
      </c>
      <c r="F89" s="49">
        <f t="shared" si="22"/>
        <v>164</v>
      </c>
      <c r="G89" s="49">
        <f t="shared" si="23"/>
        <v>164</v>
      </c>
      <c r="H89" s="17">
        <f t="shared" si="24"/>
        <v>96.518125000000012</v>
      </c>
      <c r="I89" s="17">
        <f t="shared" si="25"/>
        <v>0.16812500000000341</v>
      </c>
      <c r="J89" s="19">
        <f t="shared" si="26"/>
        <v>1.7449403217436783E-3</v>
      </c>
      <c r="K89" s="35" t="s">
        <v>40</v>
      </c>
    </row>
    <row r="90" spans="1:11" ht="15">
      <c r="A90" s="7">
        <v>83</v>
      </c>
      <c r="B90" s="9">
        <f t="shared" si="18"/>
        <v>97.525000000000006</v>
      </c>
      <c r="C90" s="11">
        <f t="shared" si="19"/>
        <v>164.93608367228356</v>
      </c>
      <c r="D90" s="13">
        <f t="shared" si="20"/>
        <v>165</v>
      </c>
      <c r="E90" s="49">
        <f t="shared" si="21"/>
        <v>165</v>
      </c>
      <c r="F90" s="49">
        <f t="shared" si="22"/>
        <v>165</v>
      </c>
      <c r="G90" s="49">
        <f t="shared" si="23"/>
        <v>165</v>
      </c>
      <c r="H90" s="17">
        <f t="shared" si="24"/>
        <v>97.59375</v>
      </c>
      <c r="I90" s="17">
        <f t="shared" si="25"/>
        <v>6.8749999999994316E-2</v>
      </c>
      <c r="J90" s="19">
        <f t="shared" si="26"/>
        <v>7.0494744937189759E-4</v>
      </c>
      <c r="K90" s="35" t="s">
        <v>40</v>
      </c>
    </row>
    <row r="91" spans="1:11" ht="15">
      <c r="A91" s="7">
        <v>84</v>
      </c>
      <c r="B91" s="9">
        <f t="shared" si="18"/>
        <v>98.7</v>
      </c>
      <c r="C91" s="11">
        <f t="shared" si="19"/>
        <v>166.02847181871005</v>
      </c>
      <c r="D91" s="13">
        <f t="shared" si="20"/>
        <v>166</v>
      </c>
      <c r="E91" s="49">
        <f t="shared" si="21"/>
        <v>166</v>
      </c>
      <c r="F91" s="49">
        <f t="shared" si="22"/>
        <v>166</v>
      </c>
      <c r="G91" s="49">
        <f t="shared" si="23"/>
        <v>166</v>
      </c>
      <c r="H91" s="17">
        <f t="shared" si="24"/>
        <v>98.669375000000002</v>
      </c>
      <c r="I91" s="17">
        <f t="shared" si="25"/>
        <v>-3.0625000000000568E-2</v>
      </c>
      <c r="J91" s="19">
        <f t="shared" si="26"/>
        <v>3.1028368794326817E-4</v>
      </c>
      <c r="K91" s="35" t="s">
        <v>40</v>
      </c>
    </row>
    <row r="92" spans="1:11" ht="15">
      <c r="A92" s="7">
        <v>85</v>
      </c>
      <c r="B92" s="9">
        <f t="shared" si="18"/>
        <v>99.875</v>
      </c>
      <c r="C92" s="11">
        <f t="shared" si="19"/>
        <v>167.12085996513653</v>
      </c>
      <c r="D92" s="13">
        <f t="shared" si="20"/>
        <v>167</v>
      </c>
      <c r="E92" s="49">
        <f t="shared" si="21"/>
        <v>167</v>
      </c>
      <c r="F92" s="49">
        <f t="shared" si="22"/>
        <v>167</v>
      </c>
      <c r="G92" s="49">
        <f t="shared" si="23"/>
        <v>167</v>
      </c>
      <c r="H92" s="17">
        <f t="shared" si="24"/>
        <v>99.745000000000005</v>
      </c>
      <c r="I92" s="17">
        <f t="shared" si="25"/>
        <v>-0.12999999999999545</v>
      </c>
      <c r="J92" s="19">
        <f t="shared" si="26"/>
        <v>1.3016270337921948E-3</v>
      </c>
      <c r="K92" s="35" t="s">
        <v>40</v>
      </c>
    </row>
    <row r="93" spans="1:11" ht="15">
      <c r="A93" s="7">
        <v>86</v>
      </c>
      <c r="B93" s="9">
        <f t="shared" si="18"/>
        <v>101.05</v>
      </c>
      <c r="C93" s="11">
        <f t="shared" si="19"/>
        <v>168.21324811156305</v>
      </c>
      <c r="D93" s="13">
        <f t="shared" si="20"/>
        <v>168</v>
      </c>
      <c r="E93" s="49">
        <f t="shared" si="21"/>
        <v>168</v>
      </c>
      <c r="F93" s="49">
        <f t="shared" si="22"/>
        <v>168</v>
      </c>
      <c r="G93" s="49">
        <f t="shared" si="23"/>
        <v>168</v>
      </c>
      <c r="H93" s="17">
        <f t="shared" si="24"/>
        <v>100.82062500000001</v>
      </c>
      <c r="I93" s="17">
        <f t="shared" si="25"/>
        <v>-0.22937499999999034</v>
      </c>
      <c r="J93" s="19">
        <f t="shared" si="26"/>
        <v>2.26991588322603E-3</v>
      </c>
      <c r="K93" s="35" t="s">
        <v>40</v>
      </c>
    </row>
    <row r="94" spans="1:11" ht="15">
      <c r="A94" s="7">
        <v>87</v>
      </c>
      <c r="B94" s="9">
        <f t="shared" si="18"/>
        <v>102.22500000000001</v>
      </c>
      <c r="C94" s="11">
        <f t="shared" si="19"/>
        <v>169.30563625798953</v>
      </c>
      <c r="D94" s="13">
        <f t="shared" si="20"/>
        <v>169</v>
      </c>
      <c r="E94" s="49">
        <f t="shared" si="21"/>
        <v>169</v>
      </c>
      <c r="F94" s="49">
        <f t="shared" si="22"/>
        <v>169</v>
      </c>
      <c r="G94" s="49">
        <f t="shared" si="23"/>
        <v>169</v>
      </c>
      <c r="H94" s="17">
        <f t="shared" si="24"/>
        <v>101.89625000000001</v>
      </c>
      <c r="I94" s="17">
        <f t="shared" si="25"/>
        <v>-0.32874999999999943</v>
      </c>
      <c r="J94" s="19">
        <f t="shared" si="26"/>
        <v>3.2159452188799159E-3</v>
      </c>
      <c r="K94" s="35" t="s">
        <v>40</v>
      </c>
    </row>
    <row r="95" spans="1:11" ht="15">
      <c r="A95" s="7">
        <v>88</v>
      </c>
      <c r="B95" s="9">
        <f t="shared" si="18"/>
        <v>103.4</v>
      </c>
      <c r="C95" s="11">
        <f t="shared" si="19"/>
        <v>170.39802440441605</v>
      </c>
      <c r="D95" s="13">
        <f t="shared" si="20"/>
        <v>170</v>
      </c>
      <c r="E95" s="49">
        <f t="shared" si="21"/>
        <v>170</v>
      </c>
      <c r="F95" s="49">
        <f t="shared" si="22"/>
        <v>170</v>
      </c>
      <c r="G95" s="49">
        <f t="shared" si="23"/>
        <v>170</v>
      </c>
      <c r="H95" s="17">
        <f t="shared" si="24"/>
        <v>102.971875</v>
      </c>
      <c r="I95" s="17">
        <f t="shared" si="25"/>
        <v>-0.42812500000000853</v>
      </c>
      <c r="J95" s="19">
        <f t="shared" si="26"/>
        <v>4.1404738878143953E-3</v>
      </c>
      <c r="K95" s="35" t="s">
        <v>40</v>
      </c>
    </row>
    <row r="96" spans="1:11" ht="15">
      <c r="A96" s="7">
        <v>89</v>
      </c>
      <c r="B96" s="9">
        <f t="shared" si="18"/>
        <v>104.575</v>
      </c>
      <c r="C96" s="11">
        <f t="shared" si="19"/>
        <v>171.49041255084254</v>
      </c>
      <c r="D96" s="13">
        <f t="shared" si="20"/>
        <v>171</v>
      </c>
      <c r="E96" s="49">
        <f t="shared" si="21"/>
        <v>171</v>
      </c>
      <c r="F96" s="49">
        <f t="shared" si="22"/>
        <v>171</v>
      </c>
      <c r="G96" s="49">
        <f t="shared" si="23"/>
        <v>171</v>
      </c>
      <c r="H96" s="17">
        <f t="shared" si="24"/>
        <v>104.0475</v>
      </c>
      <c r="I96" s="17">
        <f t="shared" si="25"/>
        <v>-0.52750000000000341</v>
      </c>
      <c r="J96" s="19">
        <f t="shared" si="26"/>
        <v>5.0442266316041446E-3</v>
      </c>
      <c r="K96" s="35" t="s">
        <v>40</v>
      </c>
    </row>
    <row r="97" spans="1:11" ht="15">
      <c r="A97" s="7">
        <v>90</v>
      </c>
      <c r="B97" s="9">
        <f t="shared" si="18"/>
        <v>105.75</v>
      </c>
      <c r="C97" s="11">
        <f t="shared" si="19"/>
        <v>172.58280069726902</v>
      </c>
      <c r="D97" s="13">
        <f t="shared" si="20"/>
        <v>173</v>
      </c>
      <c r="E97" s="49">
        <f t="shared" si="21"/>
        <v>173</v>
      </c>
      <c r="F97" s="49">
        <f t="shared" si="22"/>
        <v>173</v>
      </c>
      <c r="G97" s="49">
        <f t="shared" si="23"/>
        <v>173</v>
      </c>
      <c r="H97" s="17">
        <f t="shared" si="24"/>
        <v>106.19874999999999</v>
      </c>
      <c r="I97" s="17">
        <f t="shared" si="25"/>
        <v>0.44874999999998977</v>
      </c>
      <c r="J97" s="19">
        <f t="shared" si="26"/>
        <v>4.2434988179668063E-3</v>
      </c>
      <c r="K97" s="35" t="s">
        <v>40</v>
      </c>
    </row>
    <row r="98" spans="1:11" ht="15">
      <c r="A98" s="7">
        <v>91</v>
      </c>
      <c r="B98" s="9">
        <f t="shared" si="18"/>
        <v>106.925</v>
      </c>
      <c r="C98" s="11">
        <f t="shared" si="19"/>
        <v>173.67518884369554</v>
      </c>
      <c r="D98" s="13">
        <f t="shared" si="20"/>
        <v>174</v>
      </c>
      <c r="E98" s="49">
        <f t="shared" si="21"/>
        <v>174</v>
      </c>
      <c r="F98" s="49">
        <f t="shared" si="22"/>
        <v>174</v>
      </c>
      <c r="G98" s="49">
        <f t="shared" si="23"/>
        <v>174</v>
      </c>
      <c r="H98" s="17">
        <f t="shared" si="24"/>
        <v>107.27437499999999</v>
      </c>
      <c r="I98" s="17">
        <f t="shared" si="25"/>
        <v>0.34937499999999488</v>
      </c>
      <c r="J98" s="19">
        <f t="shared" si="26"/>
        <v>3.2674772036473685E-3</v>
      </c>
      <c r="K98" s="35" t="s">
        <v>40</v>
      </c>
    </row>
    <row r="99" spans="1:11" ht="15">
      <c r="A99" s="7">
        <v>92</v>
      </c>
      <c r="B99" s="9">
        <f t="shared" si="18"/>
        <v>108.10000000000001</v>
      </c>
      <c r="C99" s="11">
        <f t="shared" si="19"/>
        <v>174.76757699012202</v>
      </c>
      <c r="D99" s="13">
        <f t="shared" si="20"/>
        <v>175</v>
      </c>
      <c r="E99" s="49">
        <f t="shared" si="21"/>
        <v>175</v>
      </c>
      <c r="F99" s="49">
        <f t="shared" si="22"/>
        <v>175</v>
      </c>
      <c r="G99" s="49">
        <f t="shared" si="23"/>
        <v>175</v>
      </c>
      <c r="H99" s="17">
        <f t="shared" si="24"/>
        <v>108.35</v>
      </c>
      <c r="I99" s="17">
        <f t="shared" si="25"/>
        <v>0.24999999999998579</v>
      </c>
      <c r="J99" s="19">
        <f t="shared" si="26"/>
        <v>2.3126734505086563E-3</v>
      </c>
      <c r="K99" s="35" t="s">
        <v>40</v>
      </c>
    </row>
    <row r="100" spans="1:11" ht="15">
      <c r="A100" s="7">
        <v>93</v>
      </c>
      <c r="B100" s="9">
        <f t="shared" si="18"/>
        <v>109.27500000000001</v>
      </c>
      <c r="C100" s="11">
        <f t="shared" si="19"/>
        <v>175.7921498661909</v>
      </c>
      <c r="D100" s="13">
        <f t="shared" si="20"/>
        <v>176</v>
      </c>
      <c r="E100" s="49">
        <f t="shared" si="21"/>
        <v>176</v>
      </c>
      <c r="F100" s="49">
        <f t="shared" si="22"/>
        <v>176</v>
      </c>
      <c r="G100" s="49">
        <f t="shared" si="23"/>
        <v>176</v>
      </c>
      <c r="H100" s="17">
        <f t="shared" si="24"/>
        <v>109.51770833333333</v>
      </c>
      <c r="I100" s="17">
        <f t="shared" si="25"/>
        <v>0.24270833333332575</v>
      </c>
      <c r="J100" s="19">
        <f t="shared" si="26"/>
        <v>2.2210783192251268E-3</v>
      </c>
      <c r="K100" s="35" t="s">
        <v>40</v>
      </c>
    </row>
    <row r="101" spans="1:11" ht="15">
      <c r="A101" s="7">
        <v>94</v>
      </c>
      <c r="B101" s="9">
        <f t="shared" si="18"/>
        <v>110.45</v>
      </c>
      <c r="C101" s="11">
        <f t="shared" si="19"/>
        <v>176.79839429081179</v>
      </c>
      <c r="D101" s="13">
        <f t="shared" si="20"/>
        <v>177</v>
      </c>
      <c r="E101" s="49">
        <f t="shared" si="21"/>
        <v>177</v>
      </c>
      <c r="F101" s="49">
        <f t="shared" si="22"/>
        <v>177</v>
      </c>
      <c r="G101" s="49">
        <f t="shared" si="23"/>
        <v>177</v>
      </c>
      <c r="H101" s="17">
        <f t="shared" si="24"/>
        <v>110.68541666666667</v>
      </c>
      <c r="I101" s="17">
        <f t="shared" si="25"/>
        <v>0.23541666666666572</v>
      </c>
      <c r="J101" s="19">
        <f t="shared" si="26"/>
        <v>2.1314320205220979E-3</v>
      </c>
      <c r="K101" s="35" t="s">
        <v>40</v>
      </c>
    </row>
    <row r="102" spans="1:11" ht="15">
      <c r="A102" s="7">
        <v>95</v>
      </c>
      <c r="B102" s="9">
        <f t="shared" si="18"/>
        <v>111.625</v>
      </c>
      <c r="C102" s="11">
        <f t="shared" si="19"/>
        <v>177.80463871543265</v>
      </c>
      <c r="D102" s="13">
        <f t="shared" si="20"/>
        <v>178</v>
      </c>
      <c r="E102" s="49">
        <f t="shared" si="21"/>
        <v>178</v>
      </c>
      <c r="F102" s="49">
        <f t="shared" si="22"/>
        <v>178</v>
      </c>
      <c r="G102" s="49">
        <f t="shared" si="23"/>
        <v>178</v>
      </c>
      <c r="H102" s="17">
        <f t="shared" si="24"/>
        <v>111.85312499999999</v>
      </c>
      <c r="I102" s="17">
        <f t="shared" si="25"/>
        <v>0.22812499999999147</v>
      </c>
      <c r="J102" s="19">
        <f t="shared" si="26"/>
        <v>2.0436730123179528E-3</v>
      </c>
      <c r="K102" s="35" t="s">
        <v>40</v>
      </c>
    </row>
    <row r="103" spans="1:11" ht="15">
      <c r="A103" s="7">
        <v>96</v>
      </c>
      <c r="B103" s="9">
        <f t="shared" ref="B103:B134" si="27">MIN(A103*$I$3,$C$3)</f>
        <v>112.80000000000001</v>
      </c>
      <c r="C103" s="11">
        <f t="shared" ref="C103:C134" si="28">IF(B103&lt;=0,0,IF(B103&gt;=$C$3,255,INDEX($L$7:$L$23,MATCH(B103,$M$7:$M$23,1))+(B103-INDEX($M$7:$M$23,MATCH(B103,$M$7:$M$23,1)))*(INDEX($L$7:$L$23,MATCH(B103,$M$7:$M$23,1)+1)-INDEX($L$7:$L$23,MATCH(B103,$M$7:$M$23,1)))/(INDEX($M$7:$M$23,MATCH(B103,$M$7:$M$23,1)+1)-INDEX($M$7:$M$23,MATCH(B103,$M$7:$M$23,1)))))</f>
        <v>178.81088314005353</v>
      </c>
      <c r="D103" s="13">
        <f t="shared" ref="D103:D134" si="29">ROUND(C103,0)</f>
        <v>179</v>
      </c>
      <c r="E103" s="49">
        <f t="shared" ref="E103:E134" si="30">D103</f>
        <v>179</v>
      </c>
      <c r="F103" s="49">
        <f t="shared" ref="F103:F134" si="31">D103</f>
        <v>179</v>
      </c>
      <c r="G103" s="49">
        <f t="shared" ref="G103:G134" si="32">D103</f>
        <v>179</v>
      </c>
      <c r="H103" s="17">
        <f t="shared" ref="H103:H134" si="33">IF(D103&lt;=0,0,IF(D103&gt;=255,$C$3,INDEX($M$7:$M$23,MATCH(D103,$L$7:$L$23,1))+(D103-INDEX($L$7:$L$23,MATCH(D103,$L$7:$L$23,1)))*(INDEX($M$7:$M$23,MATCH(D103,$L$7:$L$23,1)+1)-INDEX($M$7:$M$23,MATCH(D103,$L$7:$L$23,1)))/(INDEX($L$7:$L$23,MATCH(D103,$L$7:$L$23,1)+1)-INDEX($L$7:$L$23,MATCH(D103,$L$7:$L$23,1)))))</f>
        <v>113.02083333333333</v>
      </c>
      <c r="I103" s="17">
        <f t="shared" ref="I103:I134" si="34">H103-B103</f>
        <v>0.22083333333331723</v>
      </c>
      <c r="J103" s="19">
        <f t="shared" ref="J103:J134" si="35">IF(B103=0,0,ABS(I103/B103))</f>
        <v>1.9577423167847271E-3</v>
      </c>
      <c r="K103" s="35" t="s">
        <v>40</v>
      </c>
    </row>
    <row r="104" spans="1:11" ht="15">
      <c r="A104" s="7">
        <v>97</v>
      </c>
      <c r="B104" s="9">
        <f t="shared" si="27"/>
        <v>113.97500000000001</v>
      </c>
      <c r="C104" s="11">
        <f t="shared" si="28"/>
        <v>179.81712756467442</v>
      </c>
      <c r="D104" s="13">
        <f t="shared" si="29"/>
        <v>180</v>
      </c>
      <c r="E104" s="49">
        <f t="shared" si="30"/>
        <v>180</v>
      </c>
      <c r="F104" s="49">
        <f t="shared" si="31"/>
        <v>180</v>
      </c>
      <c r="G104" s="49">
        <f t="shared" si="32"/>
        <v>180</v>
      </c>
      <c r="H104" s="17">
        <f t="shared" si="33"/>
        <v>114.18854166666667</v>
      </c>
      <c r="I104" s="17">
        <f t="shared" si="34"/>
        <v>0.21354166666665719</v>
      </c>
      <c r="J104" s="19">
        <f t="shared" si="35"/>
        <v>1.873583388169837E-3</v>
      </c>
      <c r="K104" s="35" t="s">
        <v>40</v>
      </c>
    </row>
    <row r="105" spans="1:11" ht="15">
      <c r="A105" s="7">
        <v>98</v>
      </c>
      <c r="B105" s="9">
        <f t="shared" si="27"/>
        <v>115.15</v>
      </c>
      <c r="C105" s="11">
        <f t="shared" si="28"/>
        <v>180.82337198929528</v>
      </c>
      <c r="D105" s="13">
        <f t="shared" si="29"/>
        <v>181</v>
      </c>
      <c r="E105" s="49">
        <f t="shared" si="30"/>
        <v>181</v>
      </c>
      <c r="F105" s="49">
        <f t="shared" si="31"/>
        <v>181</v>
      </c>
      <c r="G105" s="49">
        <f t="shared" si="32"/>
        <v>181</v>
      </c>
      <c r="H105" s="17">
        <f t="shared" si="33"/>
        <v>115.35624999999999</v>
      </c>
      <c r="I105" s="17">
        <f t="shared" si="34"/>
        <v>0.20624999999998295</v>
      </c>
      <c r="J105" s="19">
        <f t="shared" si="35"/>
        <v>1.7911419887102296E-3</v>
      </c>
      <c r="K105" s="35" t="s">
        <v>40</v>
      </c>
    </row>
    <row r="106" spans="1:11" ht="15">
      <c r="A106" s="7">
        <v>99</v>
      </c>
      <c r="B106" s="9">
        <f t="shared" si="27"/>
        <v>116.325</v>
      </c>
      <c r="C106" s="11">
        <f t="shared" si="28"/>
        <v>181.82961641391614</v>
      </c>
      <c r="D106" s="13">
        <f t="shared" si="29"/>
        <v>182</v>
      </c>
      <c r="E106" s="49">
        <f t="shared" si="30"/>
        <v>182</v>
      </c>
      <c r="F106" s="49">
        <f t="shared" si="31"/>
        <v>182</v>
      </c>
      <c r="G106" s="49">
        <f t="shared" si="32"/>
        <v>182</v>
      </c>
      <c r="H106" s="17">
        <f t="shared" si="33"/>
        <v>116.52395833333333</v>
      </c>
      <c r="I106" s="17">
        <f t="shared" si="34"/>
        <v>0.19895833333332291</v>
      </c>
      <c r="J106" s="19">
        <f t="shared" si="35"/>
        <v>1.71036607206811E-3</v>
      </c>
      <c r="K106" s="35" t="s">
        <v>40</v>
      </c>
    </row>
    <row r="107" spans="1:11" ht="15">
      <c r="A107" s="7">
        <v>100</v>
      </c>
      <c r="B107" s="9">
        <f t="shared" si="27"/>
        <v>117.5</v>
      </c>
      <c r="C107" s="11">
        <f t="shared" si="28"/>
        <v>182.83586083853703</v>
      </c>
      <c r="D107" s="13">
        <f t="shared" si="29"/>
        <v>183</v>
      </c>
      <c r="E107" s="49">
        <f t="shared" si="30"/>
        <v>183</v>
      </c>
      <c r="F107" s="49">
        <f t="shared" si="31"/>
        <v>183</v>
      </c>
      <c r="G107" s="49">
        <f t="shared" si="32"/>
        <v>183</v>
      </c>
      <c r="H107" s="17">
        <f t="shared" si="33"/>
        <v>117.69166666666666</v>
      </c>
      <c r="I107" s="17">
        <f t="shared" si="34"/>
        <v>0.19166666666666288</v>
      </c>
      <c r="J107" s="19">
        <f t="shared" si="35"/>
        <v>1.631205673758833E-3</v>
      </c>
      <c r="K107" s="35" t="s">
        <v>40</v>
      </c>
    </row>
    <row r="108" spans="1:11" ht="15">
      <c r="A108" s="7">
        <v>101</v>
      </c>
      <c r="B108" s="9">
        <f t="shared" si="27"/>
        <v>118.67500000000001</v>
      </c>
      <c r="C108" s="11">
        <f t="shared" si="28"/>
        <v>183.84210526315792</v>
      </c>
      <c r="D108" s="13">
        <f t="shared" si="29"/>
        <v>184</v>
      </c>
      <c r="E108" s="49">
        <f t="shared" si="30"/>
        <v>184</v>
      </c>
      <c r="F108" s="49">
        <f t="shared" si="31"/>
        <v>184</v>
      </c>
      <c r="G108" s="49">
        <f t="shared" si="32"/>
        <v>184</v>
      </c>
      <c r="H108" s="17">
        <f t="shared" si="33"/>
        <v>118.859375</v>
      </c>
      <c r="I108" s="17">
        <f t="shared" si="34"/>
        <v>0.18437499999998863</v>
      </c>
      <c r="J108" s="19">
        <f t="shared" si="35"/>
        <v>1.5536128080892236E-3</v>
      </c>
      <c r="K108" s="35" t="s">
        <v>40</v>
      </c>
    </row>
    <row r="109" spans="1:11" ht="15">
      <c r="A109" s="7">
        <v>102</v>
      </c>
      <c r="B109" s="9">
        <f t="shared" si="27"/>
        <v>119.85000000000001</v>
      </c>
      <c r="C109" s="11">
        <f t="shared" si="28"/>
        <v>184.84834968777878</v>
      </c>
      <c r="D109" s="13">
        <f t="shared" si="29"/>
        <v>185</v>
      </c>
      <c r="E109" s="49">
        <f t="shared" si="30"/>
        <v>185</v>
      </c>
      <c r="F109" s="49">
        <f t="shared" si="31"/>
        <v>185</v>
      </c>
      <c r="G109" s="49">
        <f t="shared" si="32"/>
        <v>185</v>
      </c>
      <c r="H109" s="17">
        <f t="shared" si="33"/>
        <v>120.02708333333334</v>
      </c>
      <c r="I109" s="17">
        <f t="shared" si="34"/>
        <v>0.1770833333333286</v>
      </c>
      <c r="J109" s="19">
        <f t="shared" si="35"/>
        <v>1.4775413711583527E-3</v>
      </c>
      <c r="K109" s="35" t="s">
        <v>40</v>
      </c>
    </row>
    <row r="110" spans="1:11" ht="15">
      <c r="A110" s="7">
        <v>103</v>
      </c>
      <c r="B110" s="9">
        <f t="shared" si="27"/>
        <v>121.02500000000001</v>
      </c>
      <c r="C110" s="11">
        <f t="shared" si="28"/>
        <v>185.85459411239964</v>
      </c>
      <c r="D110" s="13">
        <f t="shared" si="29"/>
        <v>186</v>
      </c>
      <c r="E110" s="49">
        <f t="shared" si="30"/>
        <v>186</v>
      </c>
      <c r="F110" s="49">
        <f t="shared" si="31"/>
        <v>186</v>
      </c>
      <c r="G110" s="49">
        <f t="shared" si="32"/>
        <v>186</v>
      </c>
      <c r="H110" s="17">
        <f t="shared" si="33"/>
        <v>121.19479166666666</v>
      </c>
      <c r="I110" s="17">
        <f t="shared" si="34"/>
        <v>0.16979166666665435</v>
      </c>
      <c r="J110" s="19">
        <f t="shared" si="35"/>
        <v>1.4029470495075756E-3</v>
      </c>
      <c r="K110" s="35" t="s">
        <v>40</v>
      </c>
    </row>
    <row r="111" spans="1:11" ht="15">
      <c r="A111" s="7">
        <v>104</v>
      </c>
      <c r="B111" s="9">
        <f t="shared" si="27"/>
        <v>122.2</v>
      </c>
      <c r="C111" s="11">
        <f t="shared" si="28"/>
        <v>186.86083853702053</v>
      </c>
      <c r="D111" s="13">
        <f t="shared" si="29"/>
        <v>187</v>
      </c>
      <c r="E111" s="49">
        <f t="shared" si="30"/>
        <v>187</v>
      </c>
      <c r="F111" s="49">
        <f t="shared" si="31"/>
        <v>187</v>
      </c>
      <c r="G111" s="49">
        <f t="shared" si="32"/>
        <v>187</v>
      </c>
      <c r="H111" s="17">
        <f t="shared" si="33"/>
        <v>122.3625</v>
      </c>
      <c r="I111" s="17">
        <f t="shared" si="34"/>
        <v>0.16249999999999432</v>
      </c>
      <c r="J111" s="19">
        <f t="shared" si="35"/>
        <v>1.3297872340425065E-3</v>
      </c>
      <c r="K111" s="35" t="s">
        <v>40</v>
      </c>
    </row>
    <row r="112" spans="1:11" ht="15">
      <c r="A112" s="7">
        <v>105</v>
      </c>
      <c r="B112" s="9">
        <f t="shared" si="27"/>
        <v>123.375</v>
      </c>
      <c r="C112" s="11">
        <f t="shared" si="28"/>
        <v>187.86708296164139</v>
      </c>
      <c r="D112" s="13">
        <f t="shared" si="29"/>
        <v>188</v>
      </c>
      <c r="E112" s="49">
        <f t="shared" si="30"/>
        <v>188</v>
      </c>
      <c r="F112" s="49">
        <f t="shared" si="31"/>
        <v>188</v>
      </c>
      <c r="G112" s="49">
        <f t="shared" si="32"/>
        <v>188</v>
      </c>
      <c r="H112" s="17">
        <f t="shared" si="33"/>
        <v>123.53020833333333</v>
      </c>
      <c r="I112" s="17">
        <f t="shared" si="34"/>
        <v>0.15520833333333428</v>
      </c>
      <c r="J112" s="19">
        <f t="shared" si="35"/>
        <v>1.2580209388720104E-3</v>
      </c>
      <c r="K112" s="35" t="s">
        <v>40</v>
      </c>
    </row>
    <row r="113" spans="1:11" ht="15">
      <c r="A113" s="7">
        <v>106</v>
      </c>
      <c r="B113" s="9">
        <f t="shared" si="27"/>
        <v>124.55000000000001</v>
      </c>
      <c r="C113" s="11">
        <f t="shared" si="28"/>
        <v>188.87332738626228</v>
      </c>
      <c r="D113" s="13">
        <f t="shared" si="29"/>
        <v>189</v>
      </c>
      <c r="E113" s="49">
        <f t="shared" si="30"/>
        <v>189</v>
      </c>
      <c r="F113" s="49">
        <f t="shared" si="31"/>
        <v>189</v>
      </c>
      <c r="G113" s="49">
        <f t="shared" si="32"/>
        <v>189</v>
      </c>
      <c r="H113" s="17">
        <f t="shared" si="33"/>
        <v>124.69791666666666</v>
      </c>
      <c r="I113" s="17">
        <f t="shared" si="34"/>
        <v>0.14791666666664582</v>
      </c>
      <c r="J113" s="19">
        <f t="shared" si="35"/>
        <v>1.1876087247422386E-3</v>
      </c>
      <c r="K113" s="35" t="s">
        <v>40</v>
      </c>
    </row>
    <row r="114" spans="1:11" ht="15">
      <c r="A114" s="7">
        <v>107</v>
      </c>
      <c r="B114" s="9">
        <f t="shared" si="27"/>
        <v>125.72500000000001</v>
      </c>
      <c r="C114" s="11">
        <f t="shared" si="28"/>
        <v>189.87957181088314</v>
      </c>
      <c r="D114" s="13">
        <f t="shared" si="29"/>
        <v>190</v>
      </c>
      <c r="E114" s="49">
        <f t="shared" si="30"/>
        <v>190</v>
      </c>
      <c r="F114" s="49">
        <f t="shared" si="31"/>
        <v>190</v>
      </c>
      <c r="G114" s="49">
        <f t="shared" si="32"/>
        <v>190</v>
      </c>
      <c r="H114" s="17">
        <f t="shared" si="33"/>
        <v>125.86562499999999</v>
      </c>
      <c r="I114" s="17">
        <f t="shared" si="34"/>
        <v>0.14062499999998579</v>
      </c>
      <c r="J114" s="19">
        <f t="shared" si="35"/>
        <v>1.1185126267646514E-3</v>
      </c>
      <c r="K114" s="35" t="s">
        <v>40</v>
      </c>
    </row>
    <row r="115" spans="1:11" ht="15">
      <c r="A115" s="7">
        <v>108</v>
      </c>
      <c r="B115" s="9">
        <f t="shared" si="27"/>
        <v>126.9</v>
      </c>
      <c r="C115" s="11">
        <f t="shared" si="28"/>
        <v>190.88581623550402</v>
      </c>
      <c r="D115" s="13">
        <f t="shared" si="29"/>
        <v>191</v>
      </c>
      <c r="E115" s="49">
        <f t="shared" si="30"/>
        <v>191</v>
      </c>
      <c r="F115" s="49">
        <f t="shared" si="31"/>
        <v>191</v>
      </c>
      <c r="G115" s="49">
        <f t="shared" si="32"/>
        <v>191</v>
      </c>
      <c r="H115" s="17">
        <f t="shared" si="33"/>
        <v>127.03333333333333</v>
      </c>
      <c r="I115" s="17">
        <f t="shared" si="34"/>
        <v>0.13333333333332575</v>
      </c>
      <c r="J115" s="19">
        <f t="shared" si="35"/>
        <v>1.0506960861570193E-3</v>
      </c>
      <c r="K115" s="35" t="s">
        <v>40</v>
      </c>
    </row>
    <row r="116" spans="1:11" ht="15">
      <c r="A116" s="7">
        <v>109</v>
      </c>
      <c r="B116" s="9">
        <f t="shared" si="27"/>
        <v>128.07500000000002</v>
      </c>
      <c r="C116" s="11">
        <f t="shared" si="28"/>
        <v>191.64641241111829</v>
      </c>
      <c r="D116" s="13">
        <f t="shared" si="29"/>
        <v>192</v>
      </c>
      <c r="E116" s="49">
        <f t="shared" si="30"/>
        <v>192</v>
      </c>
      <c r="F116" s="49">
        <f t="shared" si="31"/>
        <v>192</v>
      </c>
      <c r="G116" s="49">
        <f t="shared" si="32"/>
        <v>192</v>
      </c>
      <c r="H116" s="17">
        <f t="shared" si="33"/>
        <v>128.64479166666666</v>
      </c>
      <c r="I116" s="17">
        <f t="shared" si="34"/>
        <v>0.56979166666664582</v>
      </c>
      <c r="J116" s="19">
        <f t="shared" si="35"/>
        <v>4.4488906239831798E-3</v>
      </c>
      <c r="K116" s="35" t="s">
        <v>40</v>
      </c>
    </row>
    <row r="117" spans="1:11" ht="15">
      <c r="A117" s="7">
        <v>110</v>
      </c>
      <c r="B117" s="9">
        <f t="shared" si="27"/>
        <v>129.25</v>
      </c>
      <c r="C117" s="11">
        <f t="shared" si="28"/>
        <v>192.37556561085972</v>
      </c>
      <c r="D117" s="13">
        <f t="shared" si="29"/>
        <v>192</v>
      </c>
      <c r="E117" s="49">
        <f t="shared" si="30"/>
        <v>192</v>
      </c>
      <c r="F117" s="49">
        <f t="shared" si="31"/>
        <v>192</v>
      </c>
      <c r="G117" s="49">
        <f t="shared" si="32"/>
        <v>192</v>
      </c>
      <c r="H117" s="17">
        <f t="shared" si="33"/>
        <v>128.64479166666666</v>
      </c>
      <c r="I117" s="17">
        <f t="shared" si="34"/>
        <v>-0.60520833333333712</v>
      </c>
      <c r="J117" s="19">
        <f t="shared" si="35"/>
        <v>4.6824629271438071E-3</v>
      </c>
      <c r="K117" s="35" t="s">
        <v>40</v>
      </c>
    </row>
    <row r="118" spans="1:11" ht="15">
      <c r="A118" s="7">
        <v>111</v>
      </c>
      <c r="B118" s="9">
        <f t="shared" si="27"/>
        <v>130.42500000000001</v>
      </c>
      <c r="C118" s="11">
        <f t="shared" si="28"/>
        <v>193.10471881060118</v>
      </c>
      <c r="D118" s="13">
        <f t="shared" si="29"/>
        <v>193</v>
      </c>
      <c r="E118" s="49">
        <f t="shared" si="30"/>
        <v>193</v>
      </c>
      <c r="F118" s="49">
        <f t="shared" si="31"/>
        <v>193</v>
      </c>
      <c r="G118" s="49">
        <f t="shared" si="32"/>
        <v>193</v>
      </c>
      <c r="H118" s="17">
        <f t="shared" si="33"/>
        <v>130.25624999999999</v>
      </c>
      <c r="I118" s="17">
        <f t="shared" si="34"/>
        <v>-0.16875000000001705</v>
      </c>
      <c r="J118" s="19">
        <f t="shared" si="35"/>
        <v>1.2938470385280203E-3</v>
      </c>
      <c r="K118" s="35" t="s">
        <v>40</v>
      </c>
    </row>
    <row r="119" spans="1:11" ht="15">
      <c r="A119" s="7">
        <v>112</v>
      </c>
      <c r="B119" s="9">
        <f t="shared" si="27"/>
        <v>131.6</v>
      </c>
      <c r="C119" s="11">
        <f t="shared" si="28"/>
        <v>193.83387201034259</v>
      </c>
      <c r="D119" s="13">
        <f t="shared" si="29"/>
        <v>194</v>
      </c>
      <c r="E119" s="49">
        <f t="shared" si="30"/>
        <v>194</v>
      </c>
      <c r="F119" s="49">
        <f t="shared" si="31"/>
        <v>194</v>
      </c>
      <c r="G119" s="49">
        <f t="shared" si="32"/>
        <v>194</v>
      </c>
      <c r="H119" s="17">
        <f t="shared" si="33"/>
        <v>131.86770833333333</v>
      </c>
      <c r="I119" s="17">
        <f t="shared" si="34"/>
        <v>0.26770833333333144</v>
      </c>
      <c r="J119" s="19">
        <f t="shared" si="35"/>
        <v>2.0342578520769869E-3</v>
      </c>
      <c r="K119" s="35" t="s">
        <v>40</v>
      </c>
    </row>
    <row r="120" spans="1:11" ht="15">
      <c r="A120" s="7">
        <v>113</v>
      </c>
      <c r="B120" s="9">
        <f t="shared" si="27"/>
        <v>132.77500000000001</v>
      </c>
      <c r="C120" s="11">
        <f t="shared" si="28"/>
        <v>194.56302521008405</v>
      </c>
      <c r="D120" s="13">
        <f t="shared" si="29"/>
        <v>195</v>
      </c>
      <c r="E120" s="49">
        <f t="shared" si="30"/>
        <v>195</v>
      </c>
      <c r="F120" s="49">
        <f t="shared" si="31"/>
        <v>195</v>
      </c>
      <c r="G120" s="49">
        <f t="shared" si="32"/>
        <v>195</v>
      </c>
      <c r="H120" s="17">
        <f t="shared" si="33"/>
        <v>133.47916666666666</v>
      </c>
      <c r="I120" s="17">
        <f t="shared" si="34"/>
        <v>0.70416666666665151</v>
      </c>
      <c r="J120" s="19">
        <f t="shared" si="35"/>
        <v>5.3034582313436374E-3</v>
      </c>
      <c r="K120" s="35" t="s">
        <v>40</v>
      </c>
    </row>
    <row r="121" spans="1:11" ht="15">
      <c r="A121" s="7">
        <v>114</v>
      </c>
      <c r="B121" s="9">
        <f t="shared" si="27"/>
        <v>133.95000000000002</v>
      </c>
      <c r="C121" s="11">
        <f t="shared" si="28"/>
        <v>195.29217840982548</v>
      </c>
      <c r="D121" s="13">
        <f t="shared" si="29"/>
        <v>195</v>
      </c>
      <c r="E121" s="49">
        <f t="shared" si="30"/>
        <v>195</v>
      </c>
      <c r="F121" s="49">
        <f t="shared" si="31"/>
        <v>195</v>
      </c>
      <c r="G121" s="49">
        <f t="shared" si="32"/>
        <v>195</v>
      </c>
      <c r="H121" s="17">
        <f t="shared" si="33"/>
        <v>133.47916666666666</v>
      </c>
      <c r="I121" s="17">
        <f t="shared" si="34"/>
        <v>-0.47083333333335986</v>
      </c>
      <c r="J121" s="19">
        <f t="shared" si="35"/>
        <v>3.5149931566506891E-3</v>
      </c>
      <c r="K121" s="35" t="s">
        <v>40</v>
      </c>
    </row>
    <row r="122" spans="1:11" ht="15">
      <c r="A122" s="7">
        <v>115</v>
      </c>
      <c r="B122" s="9">
        <f t="shared" si="27"/>
        <v>135.125</v>
      </c>
      <c r="C122" s="11">
        <f t="shared" si="28"/>
        <v>196.02133160956691</v>
      </c>
      <c r="D122" s="13">
        <f t="shared" si="29"/>
        <v>196</v>
      </c>
      <c r="E122" s="49">
        <f t="shared" si="30"/>
        <v>196</v>
      </c>
      <c r="F122" s="49">
        <f t="shared" si="31"/>
        <v>196</v>
      </c>
      <c r="G122" s="49">
        <f t="shared" si="32"/>
        <v>196</v>
      </c>
      <c r="H122" s="17">
        <f t="shared" si="33"/>
        <v>135.09062499999999</v>
      </c>
      <c r="I122" s="17">
        <f t="shared" si="34"/>
        <v>-3.4375000000011369E-2</v>
      </c>
      <c r="J122" s="19">
        <f t="shared" si="35"/>
        <v>2.5439407955605084E-4</v>
      </c>
      <c r="K122" s="35" t="s">
        <v>40</v>
      </c>
    </row>
    <row r="123" spans="1:11" ht="15">
      <c r="A123" s="7">
        <v>116</v>
      </c>
      <c r="B123" s="9">
        <f t="shared" si="27"/>
        <v>136.30000000000001</v>
      </c>
      <c r="C123" s="11">
        <f t="shared" si="28"/>
        <v>196.75048480930835</v>
      </c>
      <c r="D123" s="13">
        <f t="shared" si="29"/>
        <v>197</v>
      </c>
      <c r="E123" s="49">
        <f t="shared" si="30"/>
        <v>197</v>
      </c>
      <c r="F123" s="49">
        <f t="shared" si="31"/>
        <v>197</v>
      </c>
      <c r="G123" s="49">
        <f t="shared" si="32"/>
        <v>197</v>
      </c>
      <c r="H123" s="17">
        <f t="shared" si="33"/>
        <v>136.70208333333332</v>
      </c>
      <c r="I123" s="17">
        <f t="shared" si="34"/>
        <v>0.4020833333333087</v>
      </c>
      <c r="J123" s="19">
        <f t="shared" si="35"/>
        <v>2.9499877720712301E-3</v>
      </c>
      <c r="K123" s="35" t="s">
        <v>40</v>
      </c>
    </row>
    <row r="124" spans="1:11" ht="15">
      <c r="A124" s="7">
        <v>117</v>
      </c>
      <c r="B124" s="9">
        <f t="shared" si="27"/>
        <v>137.47499999999999</v>
      </c>
      <c r="C124" s="11">
        <f t="shared" si="28"/>
        <v>197.47963800904978</v>
      </c>
      <c r="D124" s="13">
        <f t="shared" si="29"/>
        <v>197</v>
      </c>
      <c r="E124" s="49">
        <f t="shared" si="30"/>
        <v>197</v>
      </c>
      <c r="F124" s="49">
        <f t="shared" si="31"/>
        <v>197</v>
      </c>
      <c r="G124" s="49">
        <f t="shared" si="32"/>
        <v>197</v>
      </c>
      <c r="H124" s="17">
        <f t="shared" si="33"/>
        <v>136.70208333333332</v>
      </c>
      <c r="I124" s="17">
        <f t="shared" si="34"/>
        <v>-0.77291666666667425</v>
      </c>
      <c r="J124" s="19">
        <f t="shared" si="35"/>
        <v>5.622234345638656E-3</v>
      </c>
      <c r="K124" s="35" t="s">
        <v>40</v>
      </c>
    </row>
    <row r="125" spans="1:11" ht="15">
      <c r="A125" s="7">
        <v>118</v>
      </c>
      <c r="B125" s="9">
        <f t="shared" si="27"/>
        <v>138.65</v>
      </c>
      <c r="C125" s="11">
        <f t="shared" si="28"/>
        <v>198.20879120879121</v>
      </c>
      <c r="D125" s="13">
        <f t="shared" si="29"/>
        <v>198</v>
      </c>
      <c r="E125" s="49">
        <f t="shared" si="30"/>
        <v>198</v>
      </c>
      <c r="F125" s="49">
        <f t="shared" si="31"/>
        <v>198</v>
      </c>
      <c r="G125" s="49">
        <f t="shared" si="32"/>
        <v>198</v>
      </c>
      <c r="H125" s="17">
        <f t="shared" si="33"/>
        <v>138.31354166666665</v>
      </c>
      <c r="I125" s="17">
        <f t="shared" si="34"/>
        <v>-0.33645833333335418</v>
      </c>
      <c r="J125" s="19">
        <f t="shared" si="35"/>
        <v>2.4266738790721539E-3</v>
      </c>
      <c r="K125" s="35" t="s">
        <v>40</v>
      </c>
    </row>
    <row r="126" spans="1:11" ht="15">
      <c r="A126" s="7">
        <v>119</v>
      </c>
      <c r="B126" s="9">
        <f t="shared" si="27"/>
        <v>139.82500000000002</v>
      </c>
      <c r="C126" s="11">
        <f t="shared" si="28"/>
        <v>198.93794440853264</v>
      </c>
      <c r="D126" s="13">
        <f t="shared" si="29"/>
        <v>199</v>
      </c>
      <c r="E126" s="49">
        <f t="shared" si="30"/>
        <v>199</v>
      </c>
      <c r="F126" s="49">
        <f t="shared" si="31"/>
        <v>199</v>
      </c>
      <c r="G126" s="49">
        <f t="shared" si="32"/>
        <v>199</v>
      </c>
      <c r="H126" s="17">
        <f t="shared" si="33"/>
        <v>139.92500000000001</v>
      </c>
      <c r="I126" s="17">
        <f t="shared" si="34"/>
        <v>9.9999999999994316E-2</v>
      </c>
      <c r="J126" s="19">
        <f t="shared" si="35"/>
        <v>7.1517968889679457E-4</v>
      </c>
      <c r="K126" s="35" t="s">
        <v>40</v>
      </c>
    </row>
    <row r="127" spans="1:11" ht="15">
      <c r="A127" s="7">
        <v>120</v>
      </c>
      <c r="B127" s="9">
        <f t="shared" si="27"/>
        <v>141</v>
      </c>
      <c r="C127" s="11">
        <f t="shared" si="28"/>
        <v>199.66709760827408</v>
      </c>
      <c r="D127" s="13">
        <f t="shared" si="29"/>
        <v>200</v>
      </c>
      <c r="E127" s="49">
        <f t="shared" si="30"/>
        <v>200</v>
      </c>
      <c r="F127" s="49">
        <f t="shared" si="31"/>
        <v>200</v>
      </c>
      <c r="G127" s="49">
        <f t="shared" si="32"/>
        <v>200</v>
      </c>
      <c r="H127" s="17">
        <f t="shared" si="33"/>
        <v>141.53645833333334</v>
      </c>
      <c r="I127" s="17">
        <f t="shared" si="34"/>
        <v>0.53645833333334281</v>
      </c>
      <c r="J127" s="19">
        <f t="shared" si="35"/>
        <v>3.8046690307329276E-3</v>
      </c>
      <c r="K127" s="35" t="s">
        <v>40</v>
      </c>
    </row>
    <row r="128" spans="1:11" ht="15">
      <c r="A128" s="7">
        <v>121</v>
      </c>
      <c r="B128" s="9">
        <f t="shared" si="27"/>
        <v>142.17500000000001</v>
      </c>
      <c r="C128" s="11">
        <f t="shared" si="28"/>
        <v>200.39625080801551</v>
      </c>
      <c r="D128" s="13">
        <f t="shared" si="29"/>
        <v>200</v>
      </c>
      <c r="E128" s="49">
        <f t="shared" si="30"/>
        <v>200</v>
      </c>
      <c r="F128" s="49">
        <f t="shared" si="31"/>
        <v>200</v>
      </c>
      <c r="G128" s="49">
        <f t="shared" si="32"/>
        <v>200</v>
      </c>
      <c r="H128" s="17">
        <f t="shared" si="33"/>
        <v>141.53645833333334</v>
      </c>
      <c r="I128" s="17">
        <f t="shared" si="34"/>
        <v>-0.63854166666666856</v>
      </c>
      <c r="J128" s="19">
        <f t="shared" si="35"/>
        <v>4.4912373248930442E-3</v>
      </c>
      <c r="K128" s="35" t="s">
        <v>40</v>
      </c>
    </row>
    <row r="129" spans="1:11" ht="15">
      <c r="A129" s="7">
        <v>122</v>
      </c>
      <c r="B129" s="9">
        <f t="shared" si="27"/>
        <v>143.35</v>
      </c>
      <c r="C129" s="11">
        <f t="shared" si="28"/>
        <v>201.12540400775694</v>
      </c>
      <c r="D129" s="13">
        <f t="shared" si="29"/>
        <v>201</v>
      </c>
      <c r="E129" s="49">
        <f t="shared" si="30"/>
        <v>201</v>
      </c>
      <c r="F129" s="49">
        <f t="shared" si="31"/>
        <v>201</v>
      </c>
      <c r="G129" s="49">
        <f t="shared" si="32"/>
        <v>201</v>
      </c>
      <c r="H129" s="17">
        <f t="shared" si="33"/>
        <v>143.14791666666667</v>
      </c>
      <c r="I129" s="17">
        <f t="shared" si="34"/>
        <v>-0.20208333333332007</v>
      </c>
      <c r="J129" s="19">
        <f t="shared" si="35"/>
        <v>1.4097198000231606E-3</v>
      </c>
      <c r="K129" s="35" t="s">
        <v>40</v>
      </c>
    </row>
    <row r="130" spans="1:11" ht="15">
      <c r="A130" s="7">
        <v>123</v>
      </c>
      <c r="B130" s="9">
        <f t="shared" si="27"/>
        <v>144.52500000000001</v>
      </c>
      <c r="C130" s="11">
        <f t="shared" si="28"/>
        <v>201.8545572074984</v>
      </c>
      <c r="D130" s="13">
        <f t="shared" si="29"/>
        <v>202</v>
      </c>
      <c r="E130" s="49">
        <f t="shared" si="30"/>
        <v>202</v>
      </c>
      <c r="F130" s="49">
        <f t="shared" si="31"/>
        <v>202</v>
      </c>
      <c r="G130" s="49">
        <f t="shared" si="32"/>
        <v>202</v>
      </c>
      <c r="H130" s="17">
        <f t="shared" si="33"/>
        <v>144.75937500000001</v>
      </c>
      <c r="I130" s="17">
        <f t="shared" si="34"/>
        <v>0.234375</v>
      </c>
      <c r="J130" s="19">
        <f t="shared" si="35"/>
        <v>1.6216917488323819E-3</v>
      </c>
      <c r="K130" s="35" t="s">
        <v>40</v>
      </c>
    </row>
    <row r="131" spans="1:11" ht="15">
      <c r="A131" s="7">
        <v>124</v>
      </c>
      <c r="B131" s="9">
        <f t="shared" si="27"/>
        <v>145.70000000000002</v>
      </c>
      <c r="C131" s="11">
        <f t="shared" si="28"/>
        <v>202.58371040723983</v>
      </c>
      <c r="D131" s="13">
        <f t="shared" si="29"/>
        <v>203</v>
      </c>
      <c r="E131" s="49">
        <f t="shared" si="30"/>
        <v>203</v>
      </c>
      <c r="F131" s="49">
        <f t="shared" si="31"/>
        <v>203</v>
      </c>
      <c r="G131" s="49">
        <f t="shared" si="32"/>
        <v>203</v>
      </c>
      <c r="H131" s="17">
        <f t="shared" si="33"/>
        <v>146.37083333333334</v>
      </c>
      <c r="I131" s="17">
        <f t="shared" si="34"/>
        <v>0.67083333333332007</v>
      </c>
      <c r="J131" s="19">
        <f t="shared" si="35"/>
        <v>4.6042095630289635E-3</v>
      </c>
      <c r="K131" s="35" t="s">
        <v>40</v>
      </c>
    </row>
    <row r="132" spans="1:11" ht="15">
      <c r="A132" s="7">
        <v>125</v>
      </c>
      <c r="B132" s="9">
        <f t="shared" si="27"/>
        <v>146.875</v>
      </c>
      <c r="C132" s="11">
        <f t="shared" si="28"/>
        <v>203.31286360698127</v>
      </c>
      <c r="D132" s="13">
        <f t="shared" si="29"/>
        <v>203</v>
      </c>
      <c r="E132" s="49">
        <f t="shared" si="30"/>
        <v>203</v>
      </c>
      <c r="F132" s="49">
        <f t="shared" si="31"/>
        <v>203</v>
      </c>
      <c r="G132" s="49">
        <f t="shared" si="32"/>
        <v>203</v>
      </c>
      <c r="H132" s="17">
        <f t="shared" si="33"/>
        <v>146.37083333333334</v>
      </c>
      <c r="I132" s="17">
        <f t="shared" si="34"/>
        <v>-0.50416666666666288</v>
      </c>
      <c r="J132" s="19">
        <f t="shared" si="35"/>
        <v>3.4326241134751516E-3</v>
      </c>
      <c r="K132" s="35" t="s">
        <v>40</v>
      </c>
    </row>
    <row r="133" spans="1:11" ht="15">
      <c r="A133" s="7">
        <v>126</v>
      </c>
      <c r="B133" s="9">
        <f t="shared" si="27"/>
        <v>148.05000000000001</v>
      </c>
      <c r="C133" s="11">
        <f t="shared" si="28"/>
        <v>204.0420168067227</v>
      </c>
      <c r="D133" s="13">
        <f t="shared" si="29"/>
        <v>204</v>
      </c>
      <c r="E133" s="49">
        <f t="shared" si="30"/>
        <v>204</v>
      </c>
      <c r="F133" s="49">
        <f t="shared" si="31"/>
        <v>204</v>
      </c>
      <c r="G133" s="49">
        <f t="shared" si="32"/>
        <v>204</v>
      </c>
      <c r="H133" s="17">
        <f t="shared" si="33"/>
        <v>147.98229166666667</v>
      </c>
      <c r="I133" s="17">
        <f t="shared" si="34"/>
        <v>-6.7708333333342807E-2</v>
      </c>
      <c r="J133" s="19">
        <f t="shared" si="35"/>
        <v>4.5733423393004254E-4</v>
      </c>
      <c r="K133" s="35" t="s">
        <v>40</v>
      </c>
    </row>
    <row r="134" spans="1:11" ht="15">
      <c r="A134" s="7">
        <v>127</v>
      </c>
      <c r="B134" s="9">
        <f t="shared" si="27"/>
        <v>149.22499999999999</v>
      </c>
      <c r="C134" s="11">
        <f t="shared" si="28"/>
        <v>204.77117000646413</v>
      </c>
      <c r="D134" s="13">
        <f t="shared" si="29"/>
        <v>205</v>
      </c>
      <c r="E134" s="49">
        <f t="shared" si="30"/>
        <v>205</v>
      </c>
      <c r="F134" s="49">
        <f t="shared" si="31"/>
        <v>205</v>
      </c>
      <c r="G134" s="49">
        <f t="shared" si="32"/>
        <v>205</v>
      </c>
      <c r="H134" s="17">
        <f t="shared" si="33"/>
        <v>149.59375</v>
      </c>
      <c r="I134" s="17">
        <f>H134-B134</f>
        <v>0.36875000000000568</v>
      </c>
      <c r="J134" s="19">
        <f t="shared" si="35"/>
        <v>2.4711006868822628E-3</v>
      </c>
      <c r="K134" s="35" t="s">
        <v>40</v>
      </c>
    </row>
    <row r="135" spans="1:11" ht="15">
      <c r="A135" s="7">
        <v>128</v>
      </c>
      <c r="B135" s="9">
        <f t="shared" ref="B135:B166" si="36">MIN(A135*$I$3,$C$3)</f>
        <v>150.4</v>
      </c>
      <c r="C135" s="11">
        <f t="shared" ref="C135:C166" si="37">IF(B135&lt;=0,0,IF(B135&gt;=$C$3,255,INDEX($L$7:$L$23,MATCH(B135,$M$7:$M$23,1))+(B135-INDEX($M$7:$M$23,MATCH(B135,$M$7:$M$23,1)))*(INDEX($L$7:$L$23,MATCH(B135,$M$7:$M$23,1)+1)-INDEX($L$7:$L$23,MATCH(B135,$M$7:$M$23,1)))/(INDEX($M$7:$M$23,MATCH(B135,$M$7:$M$23,1)+1)-INDEX($M$7:$M$23,MATCH(B135,$M$7:$M$23,1)))))</f>
        <v>205.50032320620556</v>
      </c>
      <c r="D135" s="13">
        <f t="shared" ref="D135:D166" si="38">ROUND(C135,0)</f>
        <v>206</v>
      </c>
      <c r="E135" s="49">
        <f t="shared" ref="E135:E166" si="39">D135</f>
        <v>206</v>
      </c>
      <c r="F135" s="49">
        <f t="shared" ref="F135:F166" si="40">D135</f>
        <v>206</v>
      </c>
      <c r="G135" s="49">
        <f t="shared" ref="G135:G166" si="41">D135</f>
        <v>206</v>
      </c>
      <c r="H135" s="17">
        <f t="shared" ref="H135:H166" si="42">IF(D135&lt;=0,0,IF(D135&gt;=255,$C$3,INDEX($M$7:$M$23,MATCH(D135,$L$7:$L$23,1))+(D135-INDEX($L$7:$L$23,MATCH(D135,$L$7:$L$23,1)))*(INDEX($M$7:$M$23,MATCH(D135,$L$7:$L$23,1)+1)-INDEX($M$7:$M$23,MATCH(D135,$L$7:$L$23,1)))/(INDEX($L$7:$L$23,MATCH(D135,$L$7:$L$23,1)+1)-INDEX($L$7:$L$23,MATCH(D135,$L$7:$L$23,1)))))</f>
        <v>151.20520833333333</v>
      </c>
      <c r="I135" s="17">
        <f t="shared" ref="I135:I166" si="43">H135-B135</f>
        <v>0.80520833333332575</v>
      </c>
      <c r="J135" s="19">
        <f t="shared" ref="J135:J166" si="44">IF(B135=0,0,ABS(I135/B135))</f>
        <v>5.3537788120566867E-3</v>
      </c>
      <c r="K135" s="35" t="s">
        <v>40</v>
      </c>
    </row>
    <row r="136" spans="1:11" ht="15">
      <c r="A136" s="7">
        <v>129</v>
      </c>
      <c r="B136" s="9">
        <f t="shared" si="36"/>
        <v>151.57500000000002</v>
      </c>
      <c r="C136" s="11">
        <f t="shared" si="37"/>
        <v>206.229476405947</v>
      </c>
      <c r="D136" s="13">
        <f t="shared" si="38"/>
        <v>206</v>
      </c>
      <c r="E136" s="49">
        <f t="shared" si="39"/>
        <v>206</v>
      </c>
      <c r="F136" s="49">
        <f t="shared" si="40"/>
        <v>206</v>
      </c>
      <c r="G136" s="49">
        <f t="shared" si="41"/>
        <v>206</v>
      </c>
      <c r="H136" s="17">
        <f t="shared" si="42"/>
        <v>151.20520833333333</v>
      </c>
      <c r="I136" s="17">
        <f t="shared" si="43"/>
        <v>-0.36979166666668561</v>
      </c>
      <c r="J136" s="19">
        <f t="shared" si="44"/>
        <v>2.4396613337732843E-3</v>
      </c>
      <c r="K136" s="35" t="s">
        <v>40</v>
      </c>
    </row>
    <row r="137" spans="1:11" ht="15">
      <c r="A137" s="7">
        <v>130</v>
      </c>
      <c r="B137" s="9">
        <f t="shared" si="36"/>
        <v>152.75</v>
      </c>
      <c r="C137" s="11">
        <f t="shared" si="37"/>
        <v>206.95862960568843</v>
      </c>
      <c r="D137" s="13">
        <f t="shared" si="38"/>
        <v>207</v>
      </c>
      <c r="E137" s="49">
        <f t="shared" si="39"/>
        <v>207</v>
      </c>
      <c r="F137" s="49">
        <f t="shared" si="40"/>
        <v>207</v>
      </c>
      <c r="G137" s="49">
        <f t="shared" si="41"/>
        <v>207</v>
      </c>
      <c r="H137" s="17">
        <f t="shared" si="42"/>
        <v>152.81666666666666</v>
      </c>
      <c r="I137" s="17">
        <f t="shared" si="43"/>
        <v>6.6666666666662877E-2</v>
      </c>
      <c r="J137" s="19">
        <f t="shared" si="44"/>
        <v>4.3644298963445418E-4</v>
      </c>
      <c r="K137" s="35" t="s">
        <v>40</v>
      </c>
    </row>
    <row r="138" spans="1:11" ht="15">
      <c r="A138" s="7">
        <v>131</v>
      </c>
      <c r="B138" s="9">
        <f t="shared" si="36"/>
        <v>153.92500000000001</v>
      </c>
      <c r="C138" s="11">
        <f t="shared" si="37"/>
        <v>207.84645982498012</v>
      </c>
      <c r="D138" s="13">
        <f t="shared" si="38"/>
        <v>208</v>
      </c>
      <c r="E138" s="49">
        <f t="shared" si="39"/>
        <v>208</v>
      </c>
      <c r="F138" s="49">
        <f t="shared" si="40"/>
        <v>208</v>
      </c>
      <c r="G138" s="49">
        <f t="shared" si="41"/>
        <v>208</v>
      </c>
      <c r="H138" s="17">
        <f t="shared" si="42"/>
        <v>154.12604166666665</v>
      </c>
      <c r="I138" s="17">
        <f t="shared" si="43"/>
        <v>0.20104166666664014</v>
      </c>
      <c r="J138" s="19">
        <f t="shared" si="44"/>
        <v>1.3061014563367883E-3</v>
      </c>
      <c r="K138" s="35" t="s">
        <v>40</v>
      </c>
    </row>
    <row r="139" spans="1:11" ht="15">
      <c r="A139" s="7">
        <v>132</v>
      </c>
      <c r="B139" s="9">
        <f t="shared" si="36"/>
        <v>155.1</v>
      </c>
      <c r="C139" s="11">
        <f t="shared" si="37"/>
        <v>208.74383452665074</v>
      </c>
      <c r="D139" s="13">
        <f t="shared" si="38"/>
        <v>209</v>
      </c>
      <c r="E139" s="49">
        <f t="shared" si="39"/>
        <v>209</v>
      </c>
      <c r="F139" s="49">
        <f t="shared" si="40"/>
        <v>209</v>
      </c>
      <c r="G139" s="49">
        <f t="shared" si="41"/>
        <v>209</v>
      </c>
      <c r="H139" s="17">
        <f t="shared" si="42"/>
        <v>155.43541666666667</v>
      </c>
      <c r="I139" s="17">
        <f t="shared" si="43"/>
        <v>0.33541666666667425</v>
      </c>
      <c r="J139" s="19">
        <f t="shared" si="44"/>
        <v>2.1625832796046051E-3</v>
      </c>
      <c r="K139" s="35" t="s">
        <v>40</v>
      </c>
    </row>
    <row r="140" spans="1:11" ht="15">
      <c r="A140" s="7">
        <v>133</v>
      </c>
      <c r="B140" s="9">
        <f t="shared" si="36"/>
        <v>156.27500000000001</v>
      </c>
      <c r="C140" s="11">
        <f t="shared" si="37"/>
        <v>209.6412092283214</v>
      </c>
      <c r="D140" s="13">
        <f t="shared" si="38"/>
        <v>210</v>
      </c>
      <c r="E140" s="49">
        <f t="shared" si="39"/>
        <v>210</v>
      </c>
      <c r="F140" s="49">
        <f t="shared" si="40"/>
        <v>210</v>
      </c>
      <c r="G140" s="49">
        <f t="shared" si="41"/>
        <v>210</v>
      </c>
      <c r="H140" s="17">
        <f t="shared" si="42"/>
        <v>156.74479166666666</v>
      </c>
      <c r="I140" s="17">
        <f t="shared" si="43"/>
        <v>0.46979166666665151</v>
      </c>
      <c r="J140" s="19">
        <f t="shared" si="44"/>
        <v>3.0061856769582561E-3</v>
      </c>
      <c r="K140" s="35" t="s">
        <v>40</v>
      </c>
    </row>
    <row r="141" spans="1:11" ht="15">
      <c r="A141" s="7">
        <v>134</v>
      </c>
      <c r="B141" s="9">
        <f t="shared" si="36"/>
        <v>157.45000000000002</v>
      </c>
      <c r="C141" s="11">
        <f t="shared" si="37"/>
        <v>210.53858392999206</v>
      </c>
      <c r="D141" s="13">
        <f t="shared" si="38"/>
        <v>211</v>
      </c>
      <c r="E141" s="49">
        <f t="shared" si="39"/>
        <v>211</v>
      </c>
      <c r="F141" s="49">
        <f t="shared" si="40"/>
        <v>211</v>
      </c>
      <c r="G141" s="49">
        <f t="shared" si="41"/>
        <v>211</v>
      </c>
      <c r="H141" s="17">
        <f t="shared" si="42"/>
        <v>158.05416666666667</v>
      </c>
      <c r="I141" s="17">
        <f t="shared" si="43"/>
        <v>0.60416666666665719</v>
      </c>
      <c r="J141" s="19">
        <f t="shared" si="44"/>
        <v>3.8371969937545706E-3</v>
      </c>
      <c r="K141" s="35" t="s">
        <v>40</v>
      </c>
    </row>
    <row r="142" spans="1:11" ht="15">
      <c r="A142" s="7">
        <v>135</v>
      </c>
      <c r="B142" s="9">
        <f t="shared" si="36"/>
        <v>158.625</v>
      </c>
      <c r="C142" s="11">
        <f t="shared" si="37"/>
        <v>211.43595863166269</v>
      </c>
      <c r="D142" s="13">
        <f t="shared" si="38"/>
        <v>211</v>
      </c>
      <c r="E142" s="49">
        <f t="shared" si="39"/>
        <v>211</v>
      </c>
      <c r="F142" s="49">
        <f t="shared" si="40"/>
        <v>211</v>
      </c>
      <c r="G142" s="49">
        <f t="shared" si="41"/>
        <v>211</v>
      </c>
      <c r="H142" s="17">
        <f t="shared" si="42"/>
        <v>158.05416666666667</v>
      </c>
      <c r="I142" s="17">
        <f t="shared" si="43"/>
        <v>-0.57083333333332575</v>
      </c>
      <c r="J142" s="19">
        <f t="shared" si="44"/>
        <v>3.5986340950879482E-3</v>
      </c>
      <c r="K142" s="35" t="s">
        <v>40</v>
      </c>
    </row>
    <row r="143" spans="1:11" ht="15">
      <c r="A143" s="7">
        <v>136</v>
      </c>
      <c r="B143" s="9">
        <f t="shared" si="36"/>
        <v>159.80000000000001</v>
      </c>
      <c r="C143" s="11">
        <f t="shared" si="37"/>
        <v>212.33333333333334</v>
      </c>
      <c r="D143" s="13">
        <f t="shared" si="38"/>
        <v>212</v>
      </c>
      <c r="E143" s="49">
        <f t="shared" si="39"/>
        <v>212</v>
      </c>
      <c r="F143" s="49">
        <f t="shared" si="40"/>
        <v>212</v>
      </c>
      <c r="G143" s="49">
        <f t="shared" si="41"/>
        <v>212</v>
      </c>
      <c r="H143" s="17">
        <f t="shared" si="42"/>
        <v>159.36354166666666</v>
      </c>
      <c r="I143" s="17">
        <f t="shared" si="43"/>
        <v>-0.43645833333334849</v>
      </c>
      <c r="J143" s="19">
        <f t="shared" si="44"/>
        <v>2.7312786816855346E-3</v>
      </c>
      <c r="K143" s="35" t="s">
        <v>40</v>
      </c>
    </row>
    <row r="144" spans="1:11" ht="15">
      <c r="A144" s="7">
        <v>137</v>
      </c>
      <c r="B144" s="9">
        <f t="shared" si="36"/>
        <v>160.97499999999999</v>
      </c>
      <c r="C144" s="11">
        <f t="shared" si="37"/>
        <v>213.23070803500397</v>
      </c>
      <c r="D144" s="13">
        <f t="shared" si="38"/>
        <v>213</v>
      </c>
      <c r="E144" s="49">
        <f t="shared" si="39"/>
        <v>213</v>
      </c>
      <c r="F144" s="49">
        <f t="shared" si="40"/>
        <v>213</v>
      </c>
      <c r="G144" s="49">
        <f t="shared" si="41"/>
        <v>213</v>
      </c>
      <c r="H144" s="17">
        <f t="shared" si="42"/>
        <v>160.67291666666668</v>
      </c>
      <c r="I144" s="17">
        <f t="shared" si="43"/>
        <v>-0.30208333333331439</v>
      </c>
      <c r="J144" s="19">
        <f t="shared" si="44"/>
        <v>1.8765853911061618E-3</v>
      </c>
      <c r="K144" s="35" t="s">
        <v>40</v>
      </c>
    </row>
    <row r="145" spans="1:11" ht="15">
      <c r="A145" s="7">
        <v>138</v>
      </c>
      <c r="B145" s="9">
        <f t="shared" si="36"/>
        <v>162.15</v>
      </c>
      <c r="C145" s="11">
        <f t="shared" si="37"/>
        <v>214.12808273667463</v>
      </c>
      <c r="D145" s="13">
        <f t="shared" si="38"/>
        <v>214</v>
      </c>
      <c r="E145" s="49">
        <f t="shared" si="39"/>
        <v>214</v>
      </c>
      <c r="F145" s="49">
        <f t="shared" si="40"/>
        <v>214</v>
      </c>
      <c r="G145" s="49">
        <f t="shared" si="41"/>
        <v>214</v>
      </c>
      <c r="H145" s="17">
        <f t="shared" si="42"/>
        <v>161.98229166666667</v>
      </c>
      <c r="I145" s="17">
        <f t="shared" si="43"/>
        <v>-0.16770833333333712</v>
      </c>
      <c r="J145" s="19">
        <f t="shared" si="44"/>
        <v>1.0342789598108981E-3</v>
      </c>
      <c r="K145" s="35" t="s">
        <v>40</v>
      </c>
    </row>
    <row r="146" spans="1:11" ht="15">
      <c r="A146" s="7">
        <v>139</v>
      </c>
      <c r="B146" s="9">
        <f t="shared" si="36"/>
        <v>163.32500000000002</v>
      </c>
      <c r="C146" s="11">
        <f t="shared" si="37"/>
        <v>215.02545743834528</v>
      </c>
      <c r="D146" s="13">
        <f t="shared" si="38"/>
        <v>215</v>
      </c>
      <c r="E146" s="49">
        <f t="shared" si="39"/>
        <v>215</v>
      </c>
      <c r="F146" s="49">
        <f t="shared" si="40"/>
        <v>215</v>
      </c>
      <c r="G146" s="49">
        <f t="shared" si="41"/>
        <v>215</v>
      </c>
      <c r="H146" s="17">
        <f t="shared" si="42"/>
        <v>163.29166666666669</v>
      </c>
      <c r="I146" s="17">
        <f t="shared" si="43"/>
        <v>-3.3333333333331439E-2</v>
      </c>
      <c r="J146" s="19">
        <f t="shared" si="44"/>
        <v>2.0409204551251453E-4</v>
      </c>
      <c r="K146" s="35" t="s">
        <v>40</v>
      </c>
    </row>
    <row r="147" spans="1:11" ht="15">
      <c r="A147" s="7">
        <v>140</v>
      </c>
      <c r="B147" s="9">
        <f t="shared" si="36"/>
        <v>164.5</v>
      </c>
      <c r="C147" s="11">
        <f t="shared" si="37"/>
        <v>215.92283214001591</v>
      </c>
      <c r="D147" s="13">
        <f t="shared" si="38"/>
        <v>216</v>
      </c>
      <c r="E147" s="49">
        <f t="shared" si="39"/>
        <v>216</v>
      </c>
      <c r="F147" s="49">
        <f t="shared" si="40"/>
        <v>216</v>
      </c>
      <c r="G147" s="49">
        <f t="shared" si="41"/>
        <v>216</v>
      </c>
      <c r="H147" s="17">
        <f t="shared" si="42"/>
        <v>164.60104166666667</v>
      </c>
      <c r="I147" s="17">
        <f t="shared" si="43"/>
        <v>0.10104166666667425</v>
      </c>
      <c r="J147" s="19">
        <f t="shared" si="44"/>
        <v>6.1423505572446354E-4</v>
      </c>
      <c r="K147" s="35" t="s">
        <v>40</v>
      </c>
    </row>
    <row r="148" spans="1:11" ht="15">
      <c r="A148" s="7">
        <v>141</v>
      </c>
      <c r="B148" s="9">
        <f t="shared" si="36"/>
        <v>165.67500000000001</v>
      </c>
      <c r="C148" s="11">
        <f t="shared" si="37"/>
        <v>216.82020684168657</v>
      </c>
      <c r="D148" s="13">
        <f t="shared" si="38"/>
        <v>217</v>
      </c>
      <c r="E148" s="49">
        <f t="shared" si="39"/>
        <v>217</v>
      </c>
      <c r="F148" s="49">
        <f t="shared" si="40"/>
        <v>217</v>
      </c>
      <c r="G148" s="49">
        <f t="shared" si="41"/>
        <v>217</v>
      </c>
      <c r="H148" s="17">
        <f t="shared" si="42"/>
        <v>165.91041666666666</v>
      </c>
      <c r="I148" s="17">
        <f t="shared" si="43"/>
        <v>0.23541666666665151</v>
      </c>
      <c r="J148" s="19">
        <f t="shared" si="44"/>
        <v>1.4209546803479794E-3</v>
      </c>
      <c r="K148" s="35" t="s">
        <v>40</v>
      </c>
    </row>
    <row r="149" spans="1:11" ht="15">
      <c r="A149" s="7">
        <v>142</v>
      </c>
      <c r="B149" s="9">
        <f t="shared" si="36"/>
        <v>166.85</v>
      </c>
      <c r="C149" s="11">
        <f t="shared" si="37"/>
        <v>217.7175815433572</v>
      </c>
      <c r="D149" s="13">
        <f t="shared" si="38"/>
        <v>218</v>
      </c>
      <c r="E149" s="49">
        <f t="shared" si="39"/>
        <v>218</v>
      </c>
      <c r="F149" s="49">
        <f t="shared" si="40"/>
        <v>218</v>
      </c>
      <c r="G149" s="49">
        <f t="shared" si="41"/>
        <v>218</v>
      </c>
      <c r="H149" s="17">
        <f t="shared" si="42"/>
        <v>167.21979166666668</v>
      </c>
      <c r="I149" s="17">
        <f t="shared" si="43"/>
        <v>0.36979166666668561</v>
      </c>
      <c r="J149" s="19">
        <f t="shared" si="44"/>
        <v>2.2163120567377024E-3</v>
      </c>
      <c r="K149" s="35" t="s">
        <v>40</v>
      </c>
    </row>
    <row r="150" spans="1:11" ht="15">
      <c r="A150" s="7">
        <v>143</v>
      </c>
      <c r="B150" s="9">
        <f t="shared" si="36"/>
        <v>168.02500000000001</v>
      </c>
      <c r="C150" s="11">
        <f t="shared" si="37"/>
        <v>218.61495624502786</v>
      </c>
      <c r="D150" s="13">
        <f t="shared" si="38"/>
        <v>219</v>
      </c>
      <c r="E150" s="49">
        <f t="shared" si="39"/>
        <v>219</v>
      </c>
      <c r="F150" s="49">
        <f t="shared" si="40"/>
        <v>219</v>
      </c>
      <c r="G150" s="49">
        <f t="shared" si="41"/>
        <v>219</v>
      </c>
      <c r="H150" s="17">
        <f t="shared" si="42"/>
        <v>168.52916666666667</v>
      </c>
      <c r="I150" s="17">
        <f t="shared" si="43"/>
        <v>0.50416666666666288</v>
      </c>
      <c r="J150" s="19">
        <f t="shared" si="44"/>
        <v>3.0005455537370205E-3</v>
      </c>
      <c r="K150" s="35" t="s">
        <v>40</v>
      </c>
    </row>
    <row r="151" spans="1:11" ht="15">
      <c r="A151" s="7">
        <v>144</v>
      </c>
      <c r="B151" s="9">
        <f t="shared" si="36"/>
        <v>169.20000000000002</v>
      </c>
      <c r="C151" s="11">
        <f t="shared" si="37"/>
        <v>219.51233094669848</v>
      </c>
      <c r="D151" s="13">
        <f t="shared" si="38"/>
        <v>220</v>
      </c>
      <c r="E151" s="49">
        <f t="shared" si="39"/>
        <v>220</v>
      </c>
      <c r="F151" s="49">
        <f t="shared" si="40"/>
        <v>220</v>
      </c>
      <c r="G151" s="49">
        <f t="shared" si="41"/>
        <v>220</v>
      </c>
      <c r="H151" s="17">
        <f t="shared" si="42"/>
        <v>169.83854166666669</v>
      </c>
      <c r="I151" s="17">
        <f t="shared" si="43"/>
        <v>0.63854166666666856</v>
      </c>
      <c r="J151" s="19">
        <f t="shared" si="44"/>
        <v>3.773886918833738E-3</v>
      </c>
      <c r="K151" s="35" t="s">
        <v>40</v>
      </c>
    </row>
    <row r="152" spans="1:11" ht="15">
      <c r="A152" s="7">
        <v>145</v>
      </c>
      <c r="B152" s="9">
        <f t="shared" si="36"/>
        <v>170.375</v>
      </c>
      <c r="C152" s="11">
        <f t="shared" si="37"/>
        <v>220.40970564836911</v>
      </c>
      <c r="D152" s="13">
        <f t="shared" si="38"/>
        <v>220</v>
      </c>
      <c r="E152" s="49">
        <f t="shared" si="39"/>
        <v>220</v>
      </c>
      <c r="F152" s="49">
        <f t="shared" si="40"/>
        <v>220</v>
      </c>
      <c r="G152" s="49">
        <f t="shared" si="41"/>
        <v>220</v>
      </c>
      <c r="H152" s="17">
        <f t="shared" si="42"/>
        <v>169.83854166666669</v>
      </c>
      <c r="I152" s="17">
        <f t="shared" si="43"/>
        <v>-0.53645833333331439</v>
      </c>
      <c r="J152" s="19">
        <f t="shared" si="44"/>
        <v>3.1486916116408767E-3</v>
      </c>
      <c r="K152" s="35" t="s">
        <v>40</v>
      </c>
    </row>
    <row r="153" spans="1:11" ht="15">
      <c r="A153" s="7">
        <v>146</v>
      </c>
      <c r="B153" s="9">
        <f t="shared" si="36"/>
        <v>171.55</v>
      </c>
      <c r="C153" s="11">
        <f t="shared" si="37"/>
        <v>221.30708035003977</v>
      </c>
      <c r="D153" s="13">
        <f t="shared" si="38"/>
        <v>221</v>
      </c>
      <c r="E153" s="49">
        <f t="shared" si="39"/>
        <v>221</v>
      </c>
      <c r="F153" s="49">
        <f t="shared" si="40"/>
        <v>221</v>
      </c>
      <c r="G153" s="49">
        <f t="shared" si="41"/>
        <v>221</v>
      </c>
      <c r="H153" s="17">
        <f t="shared" si="42"/>
        <v>171.14791666666667</v>
      </c>
      <c r="I153" s="17">
        <f t="shared" si="43"/>
        <v>-0.40208333333333712</v>
      </c>
      <c r="J153" s="19">
        <f t="shared" si="44"/>
        <v>2.3438259010978555E-3</v>
      </c>
      <c r="K153" s="35" t="s">
        <v>40</v>
      </c>
    </row>
    <row r="154" spans="1:11" ht="15">
      <c r="A154" s="7">
        <v>147</v>
      </c>
      <c r="B154" s="9">
        <f t="shared" si="36"/>
        <v>172.72499999999999</v>
      </c>
      <c r="C154" s="11">
        <f t="shared" si="37"/>
        <v>222.2044550517104</v>
      </c>
      <c r="D154" s="13">
        <f t="shared" si="38"/>
        <v>222</v>
      </c>
      <c r="E154" s="49">
        <f t="shared" si="39"/>
        <v>222</v>
      </c>
      <c r="F154" s="49">
        <f t="shared" si="40"/>
        <v>222</v>
      </c>
      <c r="G154" s="49">
        <f t="shared" si="41"/>
        <v>222</v>
      </c>
      <c r="H154" s="17">
        <f t="shared" si="42"/>
        <v>172.45729166666666</v>
      </c>
      <c r="I154" s="17">
        <f t="shared" si="43"/>
        <v>-0.26770833333333144</v>
      </c>
      <c r="J154" s="19">
        <f t="shared" si="44"/>
        <v>1.549910744439609E-3</v>
      </c>
      <c r="K154" s="35" t="s">
        <v>40</v>
      </c>
    </row>
    <row r="155" spans="1:11" ht="15">
      <c r="A155" s="7">
        <v>148</v>
      </c>
      <c r="B155" s="9">
        <f t="shared" si="36"/>
        <v>173.9</v>
      </c>
      <c r="C155" s="11">
        <f t="shared" si="37"/>
        <v>223.08085912823751</v>
      </c>
      <c r="D155" s="13">
        <f t="shared" si="38"/>
        <v>223</v>
      </c>
      <c r="E155" s="49">
        <f t="shared" si="39"/>
        <v>223</v>
      </c>
      <c r="F155" s="49">
        <f t="shared" si="40"/>
        <v>223</v>
      </c>
      <c r="G155" s="49">
        <f t="shared" si="41"/>
        <v>223</v>
      </c>
      <c r="H155" s="17">
        <f t="shared" si="42"/>
        <v>173.76666666666668</v>
      </c>
      <c r="I155" s="17">
        <f t="shared" si="43"/>
        <v>-0.13333333333332575</v>
      </c>
      <c r="J155" s="19">
        <f t="shared" si="44"/>
        <v>7.6672417097944652E-4</v>
      </c>
      <c r="K155" s="35" t="s">
        <v>40</v>
      </c>
    </row>
    <row r="156" spans="1:11" ht="15">
      <c r="A156" s="7">
        <v>149</v>
      </c>
      <c r="B156" s="9">
        <f t="shared" si="36"/>
        <v>175.07500000000002</v>
      </c>
      <c r="C156" s="11">
        <f t="shared" si="37"/>
        <v>223.79343019583069</v>
      </c>
      <c r="D156" s="13">
        <f t="shared" si="38"/>
        <v>224</v>
      </c>
      <c r="E156" s="49">
        <f t="shared" si="39"/>
        <v>224</v>
      </c>
      <c r="F156" s="49">
        <f t="shared" si="40"/>
        <v>224</v>
      </c>
      <c r="G156" s="49">
        <f t="shared" si="41"/>
        <v>224</v>
      </c>
      <c r="H156" s="17">
        <f t="shared" si="42"/>
        <v>175.41562500000001</v>
      </c>
      <c r="I156" s="17">
        <f t="shared" si="43"/>
        <v>0.34062499999998863</v>
      </c>
      <c r="J156" s="19">
        <f t="shared" si="44"/>
        <v>1.9455947451091737E-3</v>
      </c>
      <c r="K156" s="35" t="s">
        <v>40</v>
      </c>
    </row>
    <row r="157" spans="1:11" ht="15">
      <c r="A157" s="7">
        <v>150</v>
      </c>
      <c r="B157" s="9">
        <f t="shared" si="36"/>
        <v>176.25</v>
      </c>
      <c r="C157" s="11">
        <f t="shared" si="37"/>
        <v>224.50600126342388</v>
      </c>
      <c r="D157" s="13">
        <f t="shared" si="38"/>
        <v>225</v>
      </c>
      <c r="E157" s="49">
        <f t="shared" si="39"/>
        <v>225</v>
      </c>
      <c r="F157" s="49">
        <f t="shared" si="40"/>
        <v>225</v>
      </c>
      <c r="G157" s="49">
        <f t="shared" si="41"/>
        <v>225</v>
      </c>
      <c r="H157" s="17">
        <f t="shared" si="42"/>
        <v>177.06458333333336</v>
      </c>
      <c r="I157" s="17">
        <f t="shared" si="43"/>
        <v>0.81458333333335986</v>
      </c>
      <c r="J157" s="19">
        <f t="shared" si="44"/>
        <v>4.6217494089836018E-3</v>
      </c>
      <c r="K157" s="35" t="s">
        <v>40</v>
      </c>
    </row>
    <row r="158" spans="1:11" ht="15">
      <c r="A158" s="7">
        <v>151</v>
      </c>
      <c r="B158" s="9">
        <f t="shared" si="36"/>
        <v>177.42500000000001</v>
      </c>
      <c r="C158" s="11">
        <f t="shared" si="37"/>
        <v>225.21857233101704</v>
      </c>
      <c r="D158" s="13">
        <f t="shared" si="38"/>
        <v>225</v>
      </c>
      <c r="E158" s="49">
        <f t="shared" si="39"/>
        <v>225</v>
      </c>
      <c r="F158" s="49">
        <f t="shared" si="40"/>
        <v>225</v>
      </c>
      <c r="G158" s="49">
        <f t="shared" si="41"/>
        <v>225</v>
      </c>
      <c r="H158" s="17">
        <f t="shared" si="42"/>
        <v>177.06458333333336</v>
      </c>
      <c r="I158" s="17">
        <f t="shared" si="43"/>
        <v>-0.36041666666665151</v>
      </c>
      <c r="J158" s="19">
        <f t="shared" si="44"/>
        <v>2.0313747592878763E-3</v>
      </c>
      <c r="K158" s="35" t="s">
        <v>40</v>
      </c>
    </row>
    <row r="159" spans="1:11" ht="15">
      <c r="A159" s="7">
        <v>152</v>
      </c>
      <c r="B159" s="9">
        <f t="shared" si="36"/>
        <v>178.6</v>
      </c>
      <c r="C159" s="11">
        <f t="shared" si="37"/>
        <v>225.93114339861023</v>
      </c>
      <c r="D159" s="13">
        <f t="shared" si="38"/>
        <v>226</v>
      </c>
      <c r="E159" s="49">
        <f t="shared" si="39"/>
        <v>226</v>
      </c>
      <c r="F159" s="49">
        <f t="shared" si="40"/>
        <v>226</v>
      </c>
      <c r="G159" s="49">
        <f t="shared" si="41"/>
        <v>226</v>
      </c>
      <c r="H159" s="17">
        <f t="shared" si="42"/>
        <v>178.71354166666669</v>
      </c>
      <c r="I159" s="17">
        <f t="shared" si="43"/>
        <v>0.1135416666666913</v>
      </c>
      <c r="J159" s="19">
        <f t="shared" si="44"/>
        <v>6.3573161627486735E-4</v>
      </c>
      <c r="K159" s="35" t="s">
        <v>40</v>
      </c>
    </row>
    <row r="160" spans="1:11" ht="15">
      <c r="A160" s="7">
        <v>153</v>
      </c>
      <c r="B160" s="9">
        <f t="shared" si="36"/>
        <v>179.77500000000001</v>
      </c>
      <c r="C160" s="11">
        <f t="shared" si="37"/>
        <v>226.64371446620339</v>
      </c>
      <c r="D160" s="13">
        <f t="shared" si="38"/>
        <v>227</v>
      </c>
      <c r="E160" s="49">
        <f t="shared" si="39"/>
        <v>227</v>
      </c>
      <c r="F160" s="49">
        <f t="shared" si="40"/>
        <v>227</v>
      </c>
      <c r="G160" s="49">
        <f t="shared" si="41"/>
        <v>227</v>
      </c>
      <c r="H160" s="17">
        <f t="shared" si="42"/>
        <v>180.36250000000001</v>
      </c>
      <c r="I160" s="17">
        <f t="shared" si="43"/>
        <v>0.58750000000000568</v>
      </c>
      <c r="J160" s="19">
        <f t="shared" si="44"/>
        <v>3.2679738562091817E-3</v>
      </c>
      <c r="K160" s="35" t="s">
        <v>40</v>
      </c>
    </row>
    <row r="161" spans="1:11" ht="15">
      <c r="A161" s="7">
        <v>154</v>
      </c>
      <c r="B161" s="9">
        <f t="shared" si="36"/>
        <v>180.95000000000002</v>
      </c>
      <c r="C161" s="11">
        <f t="shared" si="37"/>
        <v>227.35628553379658</v>
      </c>
      <c r="D161" s="13">
        <f t="shared" si="38"/>
        <v>227</v>
      </c>
      <c r="E161" s="49">
        <f t="shared" si="39"/>
        <v>227</v>
      </c>
      <c r="F161" s="49">
        <f t="shared" si="40"/>
        <v>227</v>
      </c>
      <c r="G161" s="49">
        <f t="shared" si="41"/>
        <v>227</v>
      </c>
      <c r="H161" s="17">
        <f t="shared" si="42"/>
        <v>180.36250000000001</v>
      </c>
      <c r="I161" s="17">
        <f t="shared" si="43"/>
        <v>-0.58750000000000568</v>
      </c>
      <c r="J161" s="19">
        <f t="shared" si="44"/>
        <v>3.2467532467532778E-3</v>
      </c>
      <c r="K161" s="35" t="s">
        <v>40</v>
      </c>
    </row>
    <row r="162" spans="1:11" ht="15">
      <c r="A162" s="7">
        <v>155</v>
      </c>
      <c r="B162" s="9">
        <f t="shared" si="36"/>
        <v>182.125</v>
      </c>
      <c r="C162" s="11">
        <f t="shared" si="37"/>
        <v>228.06885660138977</v>
      </c>
      <c r="D162" s="13">
        <f t="shared" si="38"/>
        <v>228</v>
      </c>
      <c r="E162" s="49">
        <f t="shared" si="39"/>
        <v>228</v>
      </c>
      <c r="F162" s="49">
        <f t="shared" si="40"/>
        <v>228</v>
      </c>
      <c r="G162" s="49">
        <f t="shared" si="41"/>
        <v>228</v>
      </c>
      <c r="H162" s="17">
        <f t="shared" si="42"/>
        <v>182.01145833333337</v>
      </c>
      <c r="I162" s="17">
        <f t="shared" si="43"/>
        <v>-0.11354166666663446</v>
      </c>
      <c r="J162" s="19">
        <f t="shared" si="44"/>
        <v>6.2342713337891259E-4</v>
      </c>
      <c r="K162" s="35" t="s">
        <v>40</v>
      </c>
    </row>
    <row r="163" spans="1:11" ht="15">
      <c r="A163" s="7">
        <v>156</v>
      </c>
      <c r="B163" s="9">
        <f t="shared" si="36"/>
        <v>183.3</v>
      </c>
      <c r="C163" s="11">
        <f t="shared" si="37"/>
        <v>228.78142766898293</v>
      </c>
      <c r="D163" s="13">
        <f t="shared" si="38"/>
        <v>229</v>
      </c>
      <c r="E163" s="49">
        <f t="shared" si="39"/>
        <v>229</v>
      </c>
      <c r="F163" s="49">
        <f t="shared" si="40"/>
        <v>229</v>
      </c>
      <c r="G163" s="49">
        <f t="shared" si="41"/>
        <v>229</v>
      </c>
      <c r="H163" s="17">
        <f t="shared" si="42"/>
        <v>183.66041666666669</v>
      </c>
      <c r="I163" s="17">
        <f t="shared" si="43"/>
        <v>0.36041666666667993</v>
      </c>
      <c r="J163" s="19">
        <f t="shared" si="44"/>
        <v>1.9662665939262406E-3</v>
      </c>
      <c r="K163" s="35" t="s">
        <v>40</v>
      </c>
    </row>
    <row r="164" spans="1:11" ht="15">
      <c r="A164" s="7">
        <v>157</v>
      </c>
      <c r="B164" s="9">
        <f t="shared" si="36"/>
        <v>184.47499999999999</v>
      </c>
      <c r="C164" s="11">
        <f t="shared" si="37"/>
        <v>229.49399873657612</v>
      </c>
      <c r="D164" s="13">
        <f t="shared" si="38"/>
        <v>229</v>
      </c>
      <c r="E164" s="49">
        <f t="shared" si="39"/>
        <v>229</v>
      </c>
      <c r="F164" s="49">
        <f t="shared" si="40"/>
        <v>229</v>
      </c>
      <c r="G164" s="49">
        <f t="shared" si="41"/>
        <v>229</v>
      </c>
      <c r="H164" s="17">
        <f t="shared" si="42"/>
        <v>183.66041666666669</v>
      </c>
      <c r="I164" s="17">
        <f t="shared" si="43"/>
        <v>-0.81458333333330302</v>
      </c>
      <c r="J164" s="19">
        <f t="shared" si="44"/>
        <v>4.4156841487101401E-3</v>
      </c>
      <c r="K164" s="35" t="s">
        <v>40</v>
      </c>
    </row>
    <row r="165" spans="1:11" ht="15">
      <c r="A165" s="7">
        <v>158</v>
      </c>
      <c r="B165" s="9">
        <f t="shared" si="36"/>
        <v>185.65</v>
      </c>
      <c r="C165" s="11">
        <f t="shared" si="37"/>
        <v>230.20656980416928</v>
      </c>
      <c r="D165" s="13">
        <f t="shared" si="38"/>
        <v>230</v>
      </c>
      <c r="E165" s="49">
        <f t="shared" si="39"/>
        <v>230</v>
      </c>
      <c r="F165" s="49">
        <f t="shared" si="40"/>
        <v>230</v>
      </c>
      <c r="G165" s="49">
        <f t="shared" si="41"/>
        <v>230</v>
      </c>
      <c r="H165" s="17">
        <f t="shared" si="42"/>
        <v>185.30937500000002</v>
      </c>
      <c r="I165" s="17">
        <f t="shared" si="43"/>
        <v>-0.34062499999998863</v>
      </c>
      <c r="J165" s="19">
        <f t="shared" si="44"/>
        <v>1.8347697279827019E-3</v>
      </c>
      <c r="K165" s="35" t="s">
        <v>40</v>
      </c>
    </row>
    <row r="166" spans="1:11" ht="15">
      <c r="A166" s="7">
        <v>159</v>
      </c>
      <c r="B166" s="9">
        <f t="shared" si="36"/>
        <v>186.82500000000002</v>
      </c>
      <c r="C166" s="11">
        <f t="shared" si="37"/>
        <v>230.91914087176247</v>
      </c>
      <c r="D166" s="13">
        <f t="shared" si="38"/>
        <v>231</v>
      </c>
      <c r="E166" s="49">
        <f t="shared" si="39"/>
        <v>231</v>
      </c>
      <c r="F166" s="49">
        <f t="shared" si="40"/>
        <v>231</v>
      </c>
      <c r="G166" s="49">
        <f t="shared" si="41"/>
        <v>231</v>
      </c>
      <c r="H166" s="17">
        <f t="shared" si="42"/>
        <v>186.95833333333337</v>
      </c>
      <c r="I166" s="17">
        <f t="shared" si="43"/>
        <v>0.13333333333335418</v>
      </c>
      <c r="J166" s="19">
        <f>IF(B166=0,0,ABS(I166/B166))</f>
        <v>7.1368036040869351E-4</v>
      </c>
      <c r="K166" s="35" t="s">
        <v>40</v>
      </c>
    </row>
    <row r="167" spans="1:11" ht="15">
      <c r="A167" s="7">
        <v>160</v>
      </c>
      <c r="B167" s="9">
        <f t="shared" ref="B167:B198" si="45">MIN(A167*$I$3,$C$3)</f>
        <v>188</v>
      </c>
      <c r="C167" s="11">
        <f t="shared" ref="C167:C198" si="46">IF(B167&lt;=0,0,IF(B167&gt;=$C$3,255,INDEX($L$7:$L$23,MATCH(B167,$M$7:$M$23,1))+(B167-INDEX($M$7:$M$23,MATCH(B167,$M$7:$M$23,1)))*(INDEX($L$7:$L$23,MATCH(B167,$M$7:$M$23,1)+1)-INDEX($L$7:$L$23,MATCH(B167,$M$7:$M$23,1)))/(INDEX($M$7:$M$23,MATCH(B167,$M$7:$M$23,1)+1)-INDEX($M$7:$M$23,MATCH(B167,$M$7:$M$23,1)))))</f>
        <v>231.63171193935563</v>
      </c>
      <c r="D167" s="13">
        <f t="shared" ref="D167:D198" si="47">ROUND(C167,0)</f>
        <v>232</v>
      </c>
      <c r="E167" s="49">
        <f t="shared" ref="E167:E198" si="48">D167</f>
        <v>232</v>
      </c>
      <c r="F167" s="49">
        <f t="shared" ref="F167:F189" si="49">D167</f>
        <v>232</v>
      </c>
      <c r="G167" s="49">
        <f t="shared" ref="G167:G189" si="50">D167</f>
        <v>232</v>
      </c>
      <c r="H167" s="17">
        <f t="shared" ref="H167:H189" si="51">IF(D167&lt;=0,0,IF(D167&gt;=255,$C$3,INDEX($M$7:$M$23,MATCH(D167,$L$7:$L$23,1))+(D167-INDEX($L$7:$L$23,MATCH(D167,$L$7:$L$23,1)))*(INDEX($M$7:$M$23,MATCH(D167,$L$7:$L$23,1)+1)-INDEX($M$7:$M$23,MATCH(D167,$L$7:$L$23,1)))/(INDEX($L$7:$L$23,MATCH(D167,$L$7:$L$23,1)+1)-INDEX($L$7:$L$23,MATCH(D167,$L$7:$L$23,1)))))</f>
        <v>188.6072916666667</v>
      </c>
      <c r="I167" s="17">
        <f t="shared" ref="I167:I198" si="52">H167-B167</f>
        <v>0.60729166666669698</v>
      </c>
      <c r="J167" s="19">
        <f t="shared" ref="J167:J198" si="53">IF(B167=0,0,ABS(I167/B167))</f>
        <v>3.2302748226951967E-3</v>
      </c>
      <c r="K167" s="35" t="s">
        <v>40</v>
      </c>
    </row>
    <row r="168" spans="1:11" ht="15">
      <c r="A168" s="7">
        <v>161</v>
      </c>
      <c r="B168" s="9">
        <f t="shared" si="45"/>
        <v>189.17500000000001</v>
      </c>
      <c r="C168" s="11">
        <f t="shared" si="46"/>
        <v>232.34428300694881</v>
      </c>
      <c r="D168" s="13">
        <f t="shared" si="47"/>
        <v>232</v>
      </c>
      <c r="E168" s="49">
        <f t="shared" si="48"/>
        <v>232</v>
      </c>
      <c r="F168" s="49">
        <f t="shared" si="49"/>
        <v>232</v>
      </c>
      <c r="G168" s="49">
        <f t="shared" si="50"/>
        <v>232</v>
      </c>
      <c r="H168" s="17">
        <f t="shared" si="51"/>
        <v>188.6072916666667</v>
      </c>
      <c r="I168" s="17">
        <f t="shared" si="52"/>
        <v>-0.56770833333331439</v>
      </c>
      <c r="J168" s="19">
        <f t="shared" si="53"/>
        <v>3.0009691203029699E-3</v>
      </c>
      <c r="K168" s="35" t="s">
        <v>40</v>
      </c>
    </row>
    <row r="169" spans="1:11" ht="15">
      <c r="A169" s="7">
        <v>162</v>
      </c>
      <c r="B169" s="9">
        <f t="shared" si="45"/>
        <v>190.35</v>
      </c>
      <c r="C169" s="11">
        <f t="shared" si="46"/>
        <v>233.056854074542</v>
      </c>
      <c r="D169" s="13">
        <f t="shared" si="47"/>
        <v>233</v>
      </c>
      <c r="E169" s="49">
        <f t="shared" si="48"/>
        <v>233</v>
      </c>
      <c r="F169" s="49">
        <f t="shared" si="49"/>
        <v>233</v>
      </c>
      <c r="G169" s="49">
        <f t="shared" si="50"/>
        <v>233</v>
      </c>
      <c r="H169" s="17">
        <f t="shared" si="51"/>
        <v>190.25625000000002</v>
      </c>
      <c r="I169" s="17">
        <f t="shared" si="52"/>
        <v>-9.3749999999971578E-2</v>
      </c>
      <c r="J169" s="19">
        <f t="shared" si="53"/>
        <v>4.9251379038598147E-4</v>
      </c>
      <c r="K169" s="35" t="s">
        <v>40</v>
      </c>
    </row>
    <row r="170" spans="1:11" ht="15">
      <c r="A170" s="7">
        <v>163</v>
      </c>
      <c r="B170" s="9">
        <f t="shared" si="45"/>
        <v>191.52500000000001</v>
      </c>
      <c r="C170" s="11">
        <f t="shared" si="46"/>
        <v>233.76942514213516</v>
      </c>
      <c r="D170" s="13">
        <f t="shared" si="47"/>
        <v>234</v>
      </c>
      <c r="E170" s="49">
        <f t="shared" si="48"/>
        <v>234</v>
      </c>
      <c r="F170" s="49">
        <f t="shared" si="49"/>
        <v>234</v>
      </c>
      <c r="G170" s="49">
        <f t="shared" si="50"/>
        <v>234</v>
      </c>
      <c r="H170" s="17">
        <f t="shared" si="51"/>
        <v>191.90520833333335</v>
      </c>
      <c r="I170" s="17">
        <f t="shared" si="52"/>
        <v>0.38020833333334281</v>
      </c>
      <c r="J170" s="19">
        <f t="shared" si="53"/>
        <v>1.9851629465257423E-3</v>
      </c>
      <c r="K170" s="35" t="s">
        <v>40</v>
      </c>
    </row>
    <row r="171" spans="1:11" ht="15">
      <c r="A171" s="7">
        <v>164</v>
      </c>
      <c r="B171" s="9">
        <f t="shared" si="45"/>
        <v>192.70000000000002</v>
      </c>
      <c r="C171" s="11">
        <f t="shared" si="46"/>
        <v>234.48199620972835</v>
      </c>
      <c r="D171" s="13">
        <f t="shared" si="47"/>
        <v>234</v>
      </c>
      <c r="E171" s="49">
        <f t="shared" si="48"/>
        <v>234</v>
      </c>
      <c r="F171" s="49">
        <f t="shared" si="49"/>
        <v>234</v>
      </c>
      <c r="G171" s="49">
        <f t="shared" si="50"/>
        <v>234</v>
      </c>
      <c r="H171" s="17">
        <f t="shared" si="51"/>
        <v>191.90520833333335</v>
      </c>
      <c r="I171" s="17">
        <f t="shared" si="52"/>
        <v>-0.79479166666666856</v>
      </c>
      <c r="J171" s="19">
        <f t="shared" si="53"/>
        <v>4.1245026811970341E-3</v>
      </c>
      <c r="K171" s="35" t="s">
        <v>40</v>
      </c>
    </row>
    <row r="172" spans="1:11" ht="15">
      <c r="A172" s="7">
        <v>165</v>
      </c>
      <c r="B172" s="9">
        <f t="shared" si="45"/>
        <v>193.875</v>
      </c>
      <c r="C172" s="11">
        <f t="shared" si="46"/>
        <v>235.19456727732151</v>
      </c>
      <c r="D172" s="13">
        <f t="shared" si="47"/>
        <v>235</v>
      </c>
      <c r="E172" s="49">
        <f t="shared" si="48"/>
        <v>235</v>
      </c>
      <c r="F172" s="49">
        <f t="shared" si="49"/>
        <v>235</v>
      </c>
      <c r="G172" s="49">
        <f t="shared" si="50"/>
        <v>235</v>
      </c>
      <c r="H172" s="17">
        <f t="shared" si="51"/>
        <v>193.5541666666667</v>
      </c>
      <c r="I172" s="17">
        <f t="shared" si="52"/>
        <v>-0.32083333333329733</v>
      </c>
      <c r="J172" s="19">
        <f t="shared" si="53"/>
        <v>1.6548463356972139E-3</v>
      </c>
      <c r="K172" s="35" t="s">
        <v>40</v>
      </c>
    </row>
    <row r="173" spans="1:11" ht="15">
      <c r="A173" s="7">
        <v>166</v>
      </c>
      <c r="B173" s="9">
        <f t="shared" si="45"/>
        <v>195.05</v>
      </c>
      <c r="C173" s="11">
        <f t="shared" si="46"/>
        <v>235.9071383449147</v>
      </c>
      <c r="D173" s="13">
        <f t="shared" si="47"/>
        <v>236</v>
      </c>
      <c r="E173" s="49">
        <f t="shared" si="48"/>
        <v>236</v>
      </c>
      <c r="F173" s="49">
        <f t="shared" si="49"/>
        <v>236</v>
      </c>
      <c r="G173" s="49">
        <f t="shared" si="50"/>
        <v>236</v>
      </c>
      <c r="H173" s="17">
        <f t="shared" si="51"/>
        <v>195.20312500000003</v>
      </c>
      <c r="I173" s="17">
        <f t="shared" si="52"/>
        <v>0.15312500000001705</v>
      </c>
      <c r="J173" s="19">
        <f t="shared" si="53"/>
        <v>7.8505511407340187E-4</v>
      </c>
      <c r="K173" s="35" t="s">
        <v>40</v>
      </c>
    </row>
    <row r="174" spans="1:11" ht="15">
      <c r="A174" s="7">
        <v>167</v>
      </c>
      <c r="B174" s="9">
        <f t="shared" si="45"/>
        <v>196.22499999999999</v>
      </c>
      <c r="C174" s="11">
        <f t="shared" si="46"/>
        <v>236.61970941250786</v>
      </c>
      <c r="D174" s="13">
        <f t="shared" si="47"/>
        <v>237</v>
      </c>
      <c r="E174" s="49">
        <f t="shared" si="48"/>
        <v>237</v>
      </c>
      <c r="F174" s="49">
        <f t="shared" si="49"/>
        <v>237</v>
      </c>
      <c r="G174" s="49">
        <f t="shared" si="50"/>
        <v>237</v>
      </c>
      <c r="H174" s="17">
        <f t="shared" si="51"/>
        <v>196.85208333333335</v>
      </c>
      <c r="I174" s="17">
        <f t="shared" si="52"/>
        <v>0.62708333333335986</v>
      </c>
      <c r="J174" s="19">
        <f t="shared" si="53"/>
        <v>3.1957361872002031E-3</v>
      </c>
      <c r="K174" s="35" t="s">
        <v>40</v>
      </c>
    </row>
    <row r="175" spans="1:11" ht="15">
      <c r="A175" s="7">
        <v>168</v>
      </c>
      <c r="B175" s="9">
        <f t="shared" si="45"/>
        <v>197.4</v>
      </c>
      <c r="C175" s="11">
        <f t="shared" si="46"/>
        <v>237.33228048010105</v>
      </c>
      <c r="D175" s="13">
        <f t="shared" si="47"/>
        <v>237</v>
      </c>
      <c r="E175" s="49">
        <f t="shared" si="48"/>
        <v>237</v>
      </c>
      <c r="F175" s="49">
        <f t="shared" si="49"/>
        <v>237</v>
      </c>
      <c r="G175" s="49">
        <f t="shared" si="50"/>
        <v>237</v>
      </c>
      <c r="H175" s="17">
        <f t="shared" si="51"/>
        <v>196.85208333333335</v>
      </c>
      <c r="I175" s="17">
        <f t="shared" si="52"/>
        <v>-0.54791666666665151</v>
      </c>
      <c r="J175" s="19">
        <f t="shared" si="53"/>
        <v>2.7756670043903317E-3</v>
      </c>
      <c r="K175" s="35" t="s">
        <v>40</v>
      </c>
    </row>
    <row r="176" spans="1:11" ht="15">
      <c r="A176" s="7">
        <v>169</v>
      </c>
      <c r="B176" s="9">
        <f t="shared" si="45"/>
        <v>198.57500000000002</v>
      </c>
      <c r="C176" s="11">
        <f t="shared" si="46"/>
        <v>238.04485154769424</v>
      </c>
      <c r="D176" s="13">
        <f t="shared" si="47"/>
        <v>238</v>
      </c>
      <c r="E176" s="49">
        <f t="shared" si="48"/>
        <v>238</v>
      </c>
      <c r="F176" s="49">
        <f t="shared" si="49"/>
        <v>238</v>
      </c>
      <c r="G176" s="49">
        <f t="shared" si="50"/>
        <v>238</v>
      </c>
      <c r="H176" s="17">
        <f t="shared" si="51"/>
        <v>198.50104166666671</v>
      </c>
      <c r="I176" s="17">
        <f t="shared" si="52"/>
        <v>-7.3958333333308701E-2</v>
      </c>
      <c r="J176" s="19">
        <f t="shared" si="53"/>
        <v>3.724453397119914E-4</v>
      </c>
      <c r="K176" s="35" t="s">
        <v>40</v>
      </c>
    </row>
    <row r="177" spans="1:11" ht="15">
      <c r="A177" s="7">
        <v>170</v>
      </c>
      <c r="B177" s="9">
        <f t="shared" si="45"/>
        <v>199.75</v>
      </c>
      <c r="C177" s="11">
        <f t="shared" si="46"/>
        <v>238.7574226152874</v>
      </c>
      <c r="D177" s="13">
        <f t="shared" si="47"/>
        <v>239</v>
      </c>
      <c r="E177" s="49">
        <f t="shared" si="48"/>
        <v>239</v>
      </c>
      <c r="F177" s="49">
        <f t="shared" si="49"/>
        <v>239</v>
      </c>
      <c r="G177" s="49">
        <f t="shared" si="50"/>
        <v>239</v>
      </c>
      <c r="H177" s="17">
        <f t="shared" si="51"/>
        <v>200.15000000000003</v>
      </c>
      <c r="I177" s="17">
        <f t="shared" si="52"/>
        <v>0.40000000000003411</v>
      </c>
      <c r="J177" s="19">
        <f t="shared" si="53"/>
        <v>2.0025031289113097E-3</v>
      </c>
      <c r="K177" s="35" t="s">
        <v>40</v>
      </c>
    </row>
    <row r="178" spans="1:11" ht="15">
      <c r="A178" s="7">
        <v>171</v>
      </c>
      <c r="B178" s="9">
        <f t="shared" si="45"/>
        <v>200.92500000000001</v>
      </c>
      <c r="C178" s="11">
        <f t="shared" si="46"/>
        <v>239.91176470588232</v>
      </c>
      <c r="D178" s="13">
        <f t="shared" si="47"/>
        <v>240</v>
      </c>
      <c r="E178" s="49">
        <f t="shared" si="48"/>
        <v>240</v>
      </c>
      <c r="F178" s="49">
        <f t="shared" si="49"/>
        <v>240</v>
      </c>
      <c r="G178" s="49">
        <f t="shared" si="50"/>
        <v>240</v>
      </c>
      <c r="H178" s="17">
        <f t="shared" si="51"/>
        <v>201.00000000000003</v>
      </c>
      <c r="I178" s="17">
        <f t="shared" si="52"/>
        <v>7.5000000000017053E-2</v>
      </c>
      <c r="J178" s="19">
        <f t="shared" si="53"/>
        <v>3.7327360955588925E-4</v>
      </c>
      <c r="K178" s="35" t="s">
        <v>40</v>
      </c>
    </row>
    <row r="179" spans="1:11" ht="15">
      <c r="A179" s="7">
        <v>172</v>
      </c>
      <c r="B179" s="9">
        <f t="shared" si="45"/>
        <v>202.1</v>
      </c>
      <c r="C179" s="11">
        <f t="shared" si="46"/>
        <v>241.29411764705878</v>
      </c>
      <c r="D179" s="13">
        <f t="shared" si="47"/>
        <v>241</v>
      </c>
      <c r="E179" s="49">
        <f t="shared" si="48"/>
        <v>241</v>
      </c>
      <c r="F179" s="49">
        <f t="shared" si="49"/>
        <v>241</v>
      </c>
      <c r="G179" s="49">
        <f t="shared" si="50"/>
        <v>241</v>
      </c>
      <c r="H179" s="17">
        <f t="shared" si="51"/>
        <v>201.85000000000002</v>
      </c>
      <c r="I179" s="17">
        <f t="shared" si="52"/>
        <v>-0.24999999999997158</v>
      </c>
      <c r="J179" s="19">
        <f t="shared" si="53"/>
        <v>1.23701138050456E-3</v>
      </c>
      <c r="K179" s="35" t="s">
        <v>40</v>
      </c>
    </row>
    <row r="180" spans="1:11" ht="15">
      <c r="A180" s="7">
        <v>173</v>
      </c>
      <c r="B180" s="9">
        <f t="shared" si="45"/>
        <v>203.27500000000001</v>
      </c>
      <c r="C180" s="11">
        <f t="shared" si="46"/>
        <v>242.67647058823528</v>
      </c>
      <c r="D180" s="13">
        <f t="shared" si="47"/>
        <v>243</v>
      </c>
      <c r="E180" s="49">
        <f t="shared" si="48"/>
        <v>243</v>
      </c>
      <c r="F180" s="49">
        <f t="shared" si="49"/>
        <v>243</v>
      </c>
      <c r="G180" s="49">
        <f t="shared" si="50"/>
        <v>243</v>
      </c>
      <c r="H180" s="17">
        <f t="shared" si="51"/>
        <v>203.55</v>
      </c>
      <c r="I180" s="17">
        <f t="shared" si="52"/>
        <v>0.27500000000000568</v>
      </c>
      <c r="J180" s="19">
        <f t="shared" si="53"/>
        <v>1.3528471282745328E-3</v>
      </c>
      <c r="K180" s="35" t="s">
        <v>40</v>
      </c>
    </row>
    <row r="181" spans="1:11" ht="15">
      <c r="A181" s="7">
        <v>174</v>
      </c>
      <c r="B181" s="9">
        <f t="shared" si="45"/>
        <v>204.45000000000002</v>
      </c>
      <c r="C181" s="11">
        <f t="shared" si="46"/>
        <v>244.05882352941177</v>
      </c>
      <c r="D181" s="13">
        <f t="shared" si="47"/>
        <v>244</v>
      </c>
      <c r="E181" s="49">
        <f t="shared" si="48"/>
        <v>244</v>
      </c>
      <c r="F181" s="49">
        <f t="shared" si="49"/>
        <v>244</v>
      </c>
      <c r="G181" s="49">
        <f t="shared" si="50"/>
        <v>244</v>
      </c>
      <c r="H181" s="17">
        <f t="shared" si="51"/>
        <v>204.4</v>
      </c>
      <c r="I181" s="17">
        <f t="shared" si="52"/>
        <v>-5.0000000000011369E-2</v>
      </c>
      <c r="J181" s="19">
        <f t="shared" si="53"/>
        <v>2.4455857177799639E-4</v>
      </c>
      <c r="K181" s="35" t="s">
        <v>40</v>
      </c>
    </row>
    <row r="182" spans="1:11" ht="15">
      <c r="A182" s="7">
        <v>175</v>
      </c>
      <c r="B182" s="9">
        <f t="shared" si="45"/>
        <v>205.625</v>
      </c>
      <c r="C182" s="11">
        <f t="shared" si="46"/>
        <v>245.44117647058823</v>
      </c>
      <c r="D182" s="13">
        <f t="shared" si="47"/>
        <v>245</v>
      </c>
      <c r="E182" s="49">
        <f t="shared" si="48"/>
        <v>245</v>
      </c>
      <c r="F182" s="49">
        <f t="shared" si="49"/>
        <v>245</v>
      </c>
      <c r="G182" s="49">
        <f t="shared" si="50"/>
        <v>245</v>
      </c>
      <c r="H182" s="17">
        <f t="shared" si="51"/>
        <v>205.25</v>
      </c>
      <c r="I182" s="17">
        <f t="shared" si="52"/>
        <v>-0.375</v>
      </c>
      <c r="J182" s="19">
        <f t="shared" si="53"/>
        <v>1.82370820668693E-3</v>
      </c>
      <c r="K182" s="35" t="s">
        <v>40</v>
      </c>
    </row>
    <row r="183" spans="1:11" ht="15">
      <c r="A183" s="7">
        <v>176</v>
      </c>
      <c r="B183" s="9">
        <f t="shared" si="45"/>
        <v>206.8</v>
      </c>
      <c r="C183" s="11">
        <f t="shared" si="46"/>
        <v>246.82352941176472</v>
      </c>
      <c r="D183" s="13">
        <f t="shared" si="47"/>
        <v>247</v>
      </c>
      <c r="E183" s="49">
        <f t="shared" si="48"/>
        <v>247</v>
      </c>
      <c r="F183" s="49">
        <f t="shared" si="49"/>
        <v>247</v>
      </c>
      <c r="G183" s="49">
        <f t="shared" si="50"/>
        <v>247</v>
      </c>
      <c r="H183" s="17">
        <f t="shared" si="51"/>
        <v>206.95</v>
      </c>
      <c r="I183" s="17">
        <f t="shared" si="52"/>
        <v>0.14999999999997726</v>
      </c>
      <c r="J183" s="19">
        <f t="shared" si="53"/>
        <v>7.2533849129582809E-4</v>
      </c>
      <c r="K183" s="35" t="s">
        <v>40</v>
      </c>
    </row>
    <row r="184" spans="1:11" ht="15">
      <c r="A184" s="7">
        <v>177</v>
      </c>
      <c r="B184" s="9">
        <f t="shared" si="45"/>
        <v>207.97499999999999</v>
      </c>
      <c r="C184" s="11">
        <f t="shared" si="46"/>
        <v>248.20588235294116</v>
      </c>
      <c r="D184" s="13">
        <f t="shared" si="47"/>
        <v>248</v>
      </c>
      <c r="E184" s="49">
        <f t="shared" si="48"/>
        <v>248</v>
      </c>
      <c r="F184" s="49">
        <f t="shared" si="49"/>
        <v>248</v>
      </c>
      <c r="G184" s="49">
        <f t="shared" si="50"/>
        <v>248</v>
      </c>
      <c r="H184" s="17">
        <f t="shared" si="51"/>
        <v>207.8</v>
      </c>
      <c r="I184" s="17">
        <f t="shared" si="52"/>
        <v>-0.17499999999998295</v>
      </c>
      <c r="J184" s="19">
        <f t="shared" si="53"/>
        <v>8.4144728933757879E-4</v>
      </c>
      <c r="K184" s="35" t="s">
        <v>40</v>
      </c>
    </row>
    <row r="185" spans="1:11" ht="15">
      <c r="A185" s="7">
        <v>178</v>
      </c>
      <c r="B185" s="9">
        <f t="shared" si="45"/>
        <v>209.15</v>
      </c>
      <c r="C185" s="11">
        <f t="shared" si="46"/>
        <v>249.58823529411765</v>
      </c>
      <c r="D185" s="13">
        <f t="shared" si="47"/>
        <v>250</v>
      </c>
      <c r="E185" s="49">
        <f t="shared" si="48"/>
        <v>250</v>
      </c>
      <c r="F185" s="49">
        <f t="shared" si="49"/>
        <v>250</v>
      </c>
      <c r="G185" s="49">
        <f t="shared" si="50"/>
        <v>250</v>
      </c>
      <c r="H185" s="17">
        <f t="shared" si="51"/>
        <v>209.5</v>
      </c>
      <c r="I185" s="17">
        <f t="shared" si="52"/>
        <v>0.34999999999999432</v>
      </c>
      <c r="J185" s="19">
        <f t="shared" si="53"/>
        <v>1.6734401147501521E-3</v>
      </c>
      <c r="K185" s="35" t="s">
        <v>40</v>
      </c>
    </row>
    <row r="186" spans="1:11" ht="15">
      <c r="A186" s="7">
        <v>179</v>
      </c>
      <c r="B186" s="9">
        <f t="shared" si="45"/>
        <v>210.32500000000002</v>
      </c>
      <c r="C186" s="11">
        <f t="shared" si="46"/>
        <v>250.97058823529414</v>
      </c>
      <c r="D186" s="13">
        <f t="shared" si="47"/>
        <v>251</v>
      </c>
      <c r="E186" s="49">
        <f t="shared" si="48"/>
        <v>251</v>
      </c>
      <c r="F186" s="49">
        <f t="shared" si="49"/>
        <v>251</v>
      </c>
      <c r="G186" s="49">
        <f t="shared" si="50"/>
        <v>251</v>
      </c>
      <c r="H186" s="17">
        <f t="shared" si="51"/>
        <v>210.35</v>
      </c>
      <c r="I186" s="17">
        <f t="shared" si="52"/>
        <v>2.4999999999977263E-2</v>
      </c>
      <c r="J186" s="19">
        <f t="shared" si="53"/>
        <v>1.1886366337799719E-4</v>
      </c>
      <c r="K186" s="35" t="s">
        <v>40</v>
      </c>
    </row>
    <row r="187" spans="1:11" ht="15">
      <c r="A187" s="7">
        <v>180</v>
      </c>
      <c r="B187" s="9">
        <f t="shared" si="45"/>
        <v>211.5</v>
      </c>
      <c r="C187" s="11">
        <f t="shared" si="46"/>
        <v>252.35294117647061</v>
      </c>
      <c r="D187" s="13">
        <f t="shared" si="47"/>
        <v>252</v>
      </c>
      <c r="E187" s="49">
        <f t="shared" si="48"/>
        <v>252</v>
      </c>
      <c r="F187" s="49">
        <f t="shared" si="49"/>
        <v>252</v>
      </c>
      <c r="G187" s="49">
        <f t="shared" si="50"/>
        <v>252</v>
      </c>
      <c r="H187" s="17">
        <f t="shared" si="51"/>
        <v>211.2</v>
      </c>
      <c r="I187" s="17">
        <f t="shared" si="52"/>
        <v>-0.30000000000001137</v>
      </c>
      <c r="J187" s="19">
        <f t="shared" si="53"/>
        <v>1.4184397163121104E-3</v>
      </c>
      <c r="K187" s="35" t="s">
        <v>40</v>
      </c>
    </row>
    <row r="188" spans="1:11" ht="15">
      <c r="A188" s="7">
        <v>181</v>
      </c>
      <c r="B188" s="9">
        <f t="shared" si="45"/>
        <v>212.67500000000001</v>
      </c>
      <c r="C188" s="11">
        <f t="shared" si="46"/>
        <v>253.7352941176471</v>
      </c>
      <c r="D188" s="13">
        <f t="shared" si="47"/>
        <v>254</v>
      </c>
      <c r="E188" s="49">
        <f t="shared" si="48"/>
        <v>254</v>
      </c>
      <c r="F188" s="49">
        <f t="shared" si="49"/>
        <v>254</v>
      </c>
      <c r="G188" s="49">
        <f t="shared" si="50"/>
        <v>254</v>
      </c>
      <c r="H188" s="17">
        <f t="shared" si="51"/>
        <v>212.89999999999998</v>
      </c>
      <c r="I188" s="17">
        <f t="shared" si="52"/>
        <v>0.22499999999996589</v>
      </c>
      <c r="J188" s="19">
        <f t="shared" si="53"/>
        <v>1.05795227459723E-3</v>
      </c>
      <c r="K188" s="35" t="s">
        <v>40</v>
      </c>
    </row>
    <row r="189" spans="1:11" ht="15">
      <c r="A189" s="8">
        <v>182</v>
      </c>
      <c r="B189" s="10">
        <f t="shared" si="45"/>
        <v>213.74999999999997</v>
      </c>
      <c r="C189" s="12">
        <f t="shared" si="46"/>
        <v>255</v>
      </c>
      <c r="D189" s="14">
        <f t="shared" si="47"/>
        <v>255</v>
      </c>
      <c r="E189" s="50">
        <f t="shared" si="48"/>
        <v>255</v>
      </c>
      <c r="F189" s="50">
        <f t="shared" si="49"/>
        <v>255</v>
      </c>
      <c r="G189" s="50">
        <f t="shared" si="50"/>
        <v>255</v>
      </c>
      <c r="H189" s="18">
        <f t="shared" si="51"/>
        <v>213.74999999999997</v>
      </c>
      <c r="I189" s="18">
        <f t="shared" si="52"/>
        <v>0</v>
      </c>
      <c r="J189" s="20">
        <f t="shared" si="53"/>
        <v>0</v>
      </c>
      <c r="K189" s="36" t="s">
        <v>40</v>
      </c>
    </row>
  </sheetData>
  <mergeCells count="7">
    <mergeCell ref="A4:M4"/>
    <mergeCell ref="A1:M1"/>
    <mergeCell ref="A2:M2"/>
    <mergeCell ref="A3:B3"/>
    <mergeCell ref="D3:E3"/>
    <mergeCell ref="G3:H3"/>
    <mergeCell ref="J3:L3"/>
  </mergeCells>
  <phoneticPr fontId="12" type="noConversion"/>
  <conditionalFormatting sqref="J7:J189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R</vt:lpstr>
      <vt:lpstr>G</vt:lpstr>
      <vt:lpstr>B</vt:lpstr>
      <vt:lpstr>Gray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Chenghang</cp:lastModifiedBy>
  <dcterms:modified xsi:type="dcterms:W3CDTF">2026-07-31T05:21:59Z</dcterms:modified>
</cp:coreProperties>
</file>