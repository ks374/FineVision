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f6bbff03b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" sheetId="1" r:id="Rf67dde61442742f8"/>
    <x:sheet xmlns:r="http://schemas.openxmlformats.org/officeDocument/2006/relationships" name="G" sheetId="2" r:id="R91bdbc8cc9074991"/>
    <x:sheet xmlns:r="http://schemas.openxmlformats.org/officeDocument/2006/relationships" name="B" sheetId="3" r:id="Re29f25dd7941450a"/>
    <x:sheet xmlns:r="http://schemas.openxmlformats.org/officeDocument/2006/relationships" name="Gray" sheetId="4" r:id="Rd93258f6bf1d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%"/>
  </x:numFmts>
  <x:fonts count="8">
    <x:font>
      <x:sz val="11"/>
      <x:name val="Carlito"/>
    </x:font>
    <x:font>
      <x:sz val="10"/>
      <x:color rgb="FF263238"/>
      <x:name val="Aptos"/>
    </x:font>
    <x:font>
      <x:b/>
      <x:sz val="16"/>
      <x:color rgb="FFFFFFFF"/>
      <x:name val="Aptos Display"/>
    </x:font>
    <x:font>
      <x:sz val="9"/>
      <x:color rgb="FF37474F"/>
      <x:name val="Aptos"/>
    </x:font>
    <x:font>
      <x:b/>
      <x:sz val="10"/>
      <x:color rgb="FF1F4E78"/>
      <x:name val="Aptos"/>
    </x:font>
    <x:font>
      <x:b/>
      <x:sz val="10"/>
      <x:color rgb="FF183B56"/>
      <x:name val="Aptos"/>
    </x:font>
    <x:font>
      <x:sz val="9"/>
      <x:color rgb="FF6D4C41"/>
      <x:name val="Aptos"/>
    </x:font>
    <x:font>
      <x:b/>
      <x:sz val="10"/>
      <x:color rgb="FFFFFFFF"/>
      <x:name val="Aptos"/>
    </x:font>
  </x:fonts>
  <x:fills count="17">
    <x:fill>
      <x:patternFill patternType="none"/>
    </x:fill>
    <x:fill>
      <x:patternFill patternType="gray125"/>
    </x:fill>
    <x:fill>
      <x:patternFill patternType="solid">
        <x:fgColor rgb="FFC0392B"/>
      </x:patternFill>
    </x:fill>
    <x:fill>
      <x:patternFill patternType="solid">
        <x:fgColor rgb="FFFDEDE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8E1"/>
      </x:patternFill>
    </x:fill>
    <x:fill>
      <x:patternFill patternType="solid">
        <x:fgColor rgb="FF1F4E78"/>
      </x:patternFill>
    </x:fill>
    <x:fill>
      <x:patternFill patternType="solid">
        <x:fgColor rgb="FF657786"/>
      </x:patternFill>
    </x:fill>
    <x:fill>
      <x:patternFill patternType="solid">
        <x:fgColor rgb="FFF8FAFC"/>
      </x:patternFill>
    </x:fill>
    <x:fill>
      <x:patternFill patternType="solid">
        <x:fgColor rgb="FFF5F7F9"/>
      </x:patternFill>
    </x:fill>
    <x:fill>
      <x:patternFill patternType="solid">
        <x:fgColor rgb="FF1E8449"/>
      </x:patternFill>
    </x:fill>
    <x:fill>
      <x:patternFill patternType="solid">
        <x:fgColor rgb="FFE8F5E9"/>
      </x:patternFill>
    </x:fill>
    <x:fill>
      <x:patternFill patternType="solid">
        <x:fgColor rgb="FF2471A3"/>
      </x:patternFill>
    </x:fill>
    <x:fill>
      <x:patternFill patternType="solid">
        <x:fgColor rgb="FFEAF2F8"/>
      </x:patternFill>
    </x:fill>
    <x:fill>
      <x:patternFill patternType="solid">
        <x:fgColor rgb="FF566573"/>
      </x:patternFill>
    </x:fill>
    <x:fill>
      <x:patternFill patternType="solid">
        <x:fgColor rgb="FFECEFF1"/>
      </x:patternFill>
    </x:fill>
  </x:fills>
  <x:borders count="3">
    <x:border/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7" fillId="7" borderId="1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/>
    <x:xf numFmtId="0" fontId="1" fillId="6" borderId="2" xfId="0" applyNumberFormat="1" applyFont="1" applyFill="1" applyBorder="1"/>
    <x:xf numFmtId="0" fontId="1" fillId="3" borderId="2" xfId="0" applyNumberFormat="1" applyFont="1" applyFill="1" applyBorder="1"/>
    <x:xf numFmtId="0" fontId="7" fillId="8" borderId="1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/>
    <x:xf numFmtId="201" fontId="1" fillId="9" borderId="2" xfId="0" applyNumberFormat="1" applyFont="1" applyFill="1" applyBorder="1"/>
    <x:xf numFmtId="200" fontId="1" fillId="9" borderId="2" xfId="0" applyNumberFormat="1" applyFont="1" applyFill="1" applyBorder="1"/>
    <x:xf numFmtId="200" fontId="1" fillId="6" borderId="2" xfId="0" applyNumberFormat="1" applyFont="1" applyFill="1" applyBorder="1"/>
    <x:xf numFmtId="201" fontId="1" fillId="6" borderId="2" xfId="0" applyNumberFormat="1" applyFont="1" applyFill="1" applyBorder="1"/>
    <x:xf numFmtId="201" fontId="1" fillId="3" borderId="2" xfId="0" applyNumberFormat="1" applyFont="1" applyFill="1" applyBorder="1"/>
    <x:xf numFmtId="202" fontId="1" fillId="9" borderId="2" xfId="0" applyNumberFormat="1" applyFont="1" applyFill="1" applyBorder="1"/>
    <x:xf numFmtId="201" fontId="1" fillId="10" borderId="2" xfId="0" applyNumberFormat="1" applyFont="1" applyFill="1" applyBorder="1"/>
    <x:xf numFmtId="200" fontId="1" fillId="10" borderId="2" xfId="0" applyNumberFormat="1" applyFont="1" applyFill="1" applyBorder="1"/>
    <x:xf numFmtId="201" fontId="1" fillId="9" borderId="2" xfId="0" applyNumberFormat="1" applyFont="1" applyFill="1" applyBorder="1" applyAlignment="1">
      <x:alignment horizontal="center"/>
    </x:xf>
    <x:xf numFmtId="200" fontId="1" fillId="9" borderId="2" xfId="0" applyNumberFormat="1" applyFont="1" applyFill="1" applyBorder="1" applyAlignment="1">
      <x:alignment horizontal="center"/>
    </x:xf>
    <x:xf numFmtId="200" fontId="1" fillId="6" borderId="2" xfId="0" applyNumberFormat="1" applyFont="1" applyFill="1" applyBorder="1" applyAlignment="1">
      <x:alignment horizontal="center"/>
    </x:xf>
    <x:xf numFmtId="201" fontId="1" fillId="6" borderId="2" xfId="0" applyNumberFormat="1" applyFont="1" applyFill="1" applyBorder="1" applyAlignment="1">
      <x:alignment horizontal="center"/>
    </x:xf>
    <x:xf numFmtId="201" fontId="1" fillId="3" borderId="2" xfId="0" applyNumberFormat="1" applyFont="1" applyFill="1" applyBorder="1" applyAlignment="1">
      <x:alignment horizontal="center"/>
    </x:xf>
    <x:xf numFmtId="202" fontId="1" fillId="9" borderId="2" xfId="0" applyNumberFormat="1" applyFont="1" applyFill="1" applyBorder="1" applyAlignment="1">
      <x:alignment horizontal="center"/>
    </x:xf>
    <x:xf numFmtId="201" fontId="1" fillId="9" borderId="2" xfId="0" applyNumberFormat="1" applyFont="1" applyFill="1" applyBorder="1" applyAlignment="1">
      <x:alignment horizontal="center" vertical="center"/>
    </x:xf>
    <x:xf numFmtId="200" fontId="1" fillId="9" borderId="2" xfId="0" applyNumberFormat="1" applyFont="1" applyFill="1" applyBorder="1" applyAlignment="1">
      <x:alignment horizontal="center" vertical="center"/>
    </x:xf>
    <x:xf numFmtId="200" fontId="1" fillId="6" borderId="2" xfId="0" applyNumberFormat="1" applyFont="1" applyFill="1" applyBorder="1" applyAlignment="1">
      <x:alignment horizontal="center" vertical="center"/>
    </x:xf>
    <x:xf numFmtId="201" fontId="1" fillId="6" borderId="2" xfId="0" applyNumberFormat="1" applyFont="1" applyFill="1" applyBorder="1" applyAlignment="1">
      <x:alignment horizontal="center" vertical="center"/>
    </x:xf>
    <x:xf numFmtId="201" fontId="1" fillId="3" borderId="2" xfId="0" applyNumberFormat="1" applyFont="1" applyFill="1" applyBorder="1" applyAlignment="1">
      <x:alignment horizontal="center" vertical="center"/>
    </x:xf>
    <x:xf numFmtId="202" fontId="1" fillId="9" borderId="2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1" fillId="12" borderId="2" xfId="0" applyNumberFormat="1" applyFont="1" applyFill="1" applyBorder="1"/>
    <x:xf numFmtId="201" fontId="1" fillId="12" borderId="2" xfId="0" applyNumberFormat="1" applyFont="1" applyFill="1" applyBorder="1"/>
    <x:xf numFmtId="201" fontId="1" fillId="12" borderId="2" xfId="0" applyNumberFormat="1" applyFont="1" applyFill="1" applyBorder="1" applyAlignment="1">
      <x:alignment horizontal="center"/>
    </x:xf>
    <x:xf numFmtId="201" fontId="1" fillId="12" borderId="2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 wrapText="1"/>
    </x:xf>
    <x:xf numFmtId="0" fontId="1" fillId="14" borderId="2" xfId="0" applyNumberFormat="1" applyFont="1" applyFill="1" applyBorder="1"/>
    <x:xf numFmtId="201" fontId="1" fillId="14" borderId="2" xfId="0" applyNumberFormat="1" applyFont="1" applyFill="1" applyBorder="1"/>
    <x:xf numFmtId="201" fontId="1" fillId="14" borderId="2" xfId="0" applyNumberFormat="1" applyFont="1" applyFill="1" applyBorder="1" applyAlignment="1">
      <x:alignment horizontal="center"/>
    </x:xf>
    <x:xf numFmtId="201" fontId="1" fillId="14" borderId="2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center" wrapText="1"/>
    </x:xf>
    <x:xf numFmtId="0" fontId="1" fillId="16" borderId="2" xfId="0" applyNumberFormat="1" applyFont="1" applyFill="1" applyBorder="1"/>
    <x:xf numFmtId="201" fontId="1" fillId="16" borderId="2" xfId="0" applyNumberFormat="1" applyFont="1" applyFill="1" applyBorder="1"/>
    <x:xf numFmtId="201" fontId="1" fillId="16" borderId="2" xfId="0" applyNumberFormat="1" applyFont="1" applyFill="1" applyBorder="1" applyAlignment="1">
      <x:alignment horizontal="center"/>
    </x:xf>
    <x:xf numFmtId="201" fontId="1" fillId="16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f407a51ed4201" /><Relationship Type="http://schemas.openxmlformats.org/officeDocument/2006/relationships/theme" Target="/xl/theme/theme1.xml" Id="R53b127a19ec647f2" /><Relationship Type="http://schemas.openxmlformats.org/officeDocument/2006/relationships/sharedStrings" Target="/xl/sharedStrings.xml" Id="Rb7eaa70f5eca4967" /><Relationship Type="http://schemas.openxmlformats.org/officeDocument/2006/relationships/worksheet" Target="/xl/worksheets/sheet1.xml" Id="Rf67dde61442742f8" /><Relationship Type="http://schemas.openxmlformats.org/officeDocument/2006/relationships/worksheet" Target="/xl/worksheets/sheet2.xml" Id="R91bdbc8cc9074991" /><Relationship Type="http://schemas.openxmlformats.org/officeDocument/2006/relationships/worksheet" Target="/xl/worksheets/sheet3.xml" Id="Re29f25dd7941450a" /><Relationship Type="http://schemas.openxmlformats.org/officeDocument/2006/relationships/worksheet" Target="/xl/worksheets/sheet4.xml" Id="Rd93258f6bf1d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3" hidden="0" customWidth="1"/>
    <x:col min="5" max="5" width="8" hidden="0" customWidth="1"/>
    <x:col min="6" max="6" width="8" hidden="0" customWidth="1"/>
    <x:col min="7" max="7" width="8" hidden="0" customWidth="1"/>
    <x:col min="8" max="8" width="13" hidden="0" customWidth="1"/>
    <x:col min="9" max="9" width="13" hidden="0" customWidth="1"/>
    <x:col min="10" max="10" width="11" hidden="0" customWidth="1"/>
    <x:col min="11" max="11" width="3" hidden="0" customWidth="1"/>
    <x:col min="12" max="12" width="15" hidden="0" customWidth="1"/>
    <x:col min="13" max="13" width="15" hidden="0" customWidth="1"/>
  </x:cols>
  <x:sheetData>
    <x:row r="1" ht="28" customHeight="1">
      <x:c r="A1" s="4" t="str">
        <x:v>Red：0–20 等亮度刺激标定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8" t="str">
        <x:v>方法：先把 0–20 线性映射到共同目标亮度，再对该通道的实测“屏幕值→亮度”曲线做分段线性反插值；推荐屏幕值取最近整数。</x:v>
      </x:c>
      <x:c r="B2" s="8"/>
      <x:c r="C2" s="8"/>
      <x:c r="D2" s="8"/>
      <x:c r="E2" s="8"/>
      <x:c r="F2" s="8"/>
      <x:c r="G2" s="8"/>
      <x:c r="H2" s="8"/>
      <x:c r="I2" s="8"/>
      <x:c r="J2" s="8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6" customHeight="1">
      <x:c r="A3" s="11" t="str">
        <x:v>共同最大目标亮度 (cd/m²)</x:v>
      </x:c>
      <x:c r="B3" s="14" t="n">
        <x:f>MIN('R'!$M$23,'G'!$M$23,'B'!$M$23,'Gray'!$M$23)</x:f>
        <x:v>23.5</x:v>
      </x:c>
      <x:c r="C3" s="11"/>
      <x:c r="D3" s="11" t="str">
        <x:v>最大强度等级</x:v>
      </x:c>
      <x:c r="E3" s="15" t="n">
        <x:v>20</x:v>
      </x:c>
      <x:c r="F3" s="11"/>
      <x:c r="G3" s="11" t="str">
        <x:v>限制通道</x:v>
      </x:c>
      <x:c r="H3" s="13" t="str">
        <x:v>B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19" t="str">
        <x:v>注意：自动测量没有 RGB=0 的数据；等级 0 定义为屏幕值 (0,0,0)，曲线中补入 (输入0, 亮度0)。等级 1–20 的目标亮度均落在实测范围内。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2" t="str">
        <x:v>强度等级</x:v>
      </x:c>
      <x:c r="B6" s="32" t="str">
        <x:v>目标亮度
(cd/m²)</x:v>
      </x:c>
      <x:c r="C6" s="32" t="str">
        <x:v>反插值通道值
(连续)</x:v>
      </x:c>
      <x:c r="D6" s="32" t="str">
        <x:v>推荐通道值
(整数)</x:v>
      </x:c>
      <x:c r="E6" s="32" t="str">
        <x:v>R</x:v>
      </x:c>
      <x:c r="F6" s="32" t="str">
        <x:v>G</x:v>
      </x:c>
      <x:c r="G6" s="32" t="str">
        <x:v>B</x:v>
      </x:c>
      <x:c r="H6" s="32" t="str">
        <x:v>预计亮度
(cd/m²)</x:v>
      </x:c>
      <x:c r="I6" s="32" t="str">
        <x:v>亮度误差
(cd/m²)</x:v>
      </x:c>
      <x:c r="J6" s="32" t="str">
        <x:v>相对误差</x:v>
      </x:c>
      <x:c r="K6" s="1"/>
      <x:c r="L6" s="36" t="str">
        <x:v>实测输入值</x:v>
      </x:c>
      <x:c r="M6" s="36" t="str">
        <x:v>最终平均亮度
(cd/m²)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2" t="n">
        <x:v>0</x:v>
      </x:c>
      <x:c r="B7" s="53" t="n">
        <x:f>$B$3*A7/$E$3</x:f>
        <x:v>0</x:v>
      </x:c>
      <x:c r="C7" s="54" t="n">
        <x:f>IF(B7&lt;=MIN($M$7:$M$23),INDEX($L$7:$L$23,1),IF(B7&gt;=MAX($M$7:$M$23),INDEX($L$7:$L$23,ROWS($L$7:$L$23)),INDEX($L$7:$L$23,MATCH(B7,$M$7:$M$23,1))+(B7-INDEX($M$7:$M$23,MATCH(B7,$M$7:$M$23,1)))*(INDEX($L$7:$L$23,MATCH(B7,$M$7:$M$23,1)+1)-INDEX($L$7:$L$23,MATCH(B7,$M$7:$M$23,1)))/(INDEX($M$7:$M$23,MATCH(B7,$M$7:$M$23,1)+1)-INDEX($M$7:$M$23,MATCH(B7,$M$7:$M$23,1)))))</x:f>
        <x:v>0</x:v>
      </x:c>
      <x:c r="D7" s="55" t="n">
        <x:f>ROUND(C7,0)</x:f>
        <x:v>0</x:v>
      </x:c>
      <x:c r="E7" s="56" t="n">
        <x:f>D7</x:f>
        <x:v>0</x:v>
      </x:c>
      <x:c r="F7" s="56" t="n">
        <x:f>0</x:f>
        <x:v>0</x:v>
      </x:c>
      <x:c r="G7" s="56" t="n">
        <x:f>0</x:f>
        <x:v>0</x:v>
      </x:c>
      <x:c r="H7" s="53" t="n">
        <x:f>IF(D7&lt;=MIN($L$7:$L$23),INDEX($M$7:$M$23,1),IF(D7&gt;=MAX($L$7:$L$23),INDEX($M$7:$M$23,ROWS($L$7:$L$23)),INDEX($M$7:$M$23,MATCH(D7,$L$7:$L$23,1))+(D7-INDEX($L$7:$L$23,MATCH(D7,$L$7:$L$23,1)))*(INDEX($M$7:$M$23,MATCH(D7,$L$7:$L$23,1)+1)-INDEX($M$7:$M$23,MATCH(D7,$L$7:$L$23,1)))/(INDEX($L$7:$L$23,MATCH(D7,$L$7:$L$23,1)+1)-INDEX($L$7:$L$23,MATCH(D7,$L$7:$L$23,1)))))</x:f>
        <x:v>0</x:v>
      </x:c>
      <x:c r="I7" s="53" t="n">
        <x:f>H7-B7</x:f>
        <x:v>0</x:v>
      </x:c>
      <x:c r="J7" s="57" t="n">
        <x:f>IF(B7=0,0,ABS(I7)/B7)</x:f>
        <x:v>0</x:v>
      </x:c>
      <x:c r="K7" s="1"/>
      <x:c r="L7" s="44" t="n">
        <x:v>0</x:v>
      </x:c>
      <x:c r="M7" s="45" t="n">
        <x:v>0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2" t="n">
        <x:v>1</x:v>
      </x:c>
      <x:c r="B8" s="53" t="n">
        <x:f>$B$3*A8/$E$3</x:f>
        <x:v>1.175</x:v>
      </x:c>
      <x:c r="C8" s="54" t="n">
        <x:f>IF(B8&lt;=MIN($M$7:$M$23),INDEX($L$7:$L$23,1),IF(B8&gt;=MAX($M$7:$M$23),INDEX($L$7:$L$23,ROWS($L$7:$L$23)),INDEX($L$7:$L$23,MATCH(B8,$M$7:$M$23,1))+(B8-INDEX($M$7:$M$23,MATCH(B8,$M$7:$M$23,1)))*(INDEX($L$7:$L$23,MATCH(B8,$M$7:$M$23,1)+1)-INDEX($L$7:$L$23,MATCH(B8,$M$7:$M$23,1)))/(INDEX($M$7:$M$23,MATCH(B8,$M$7:$M$23,1)+1)-INDEX($M$7:$M$23,MATCH(B8,$M$7:$M$23,1)))))</x:f>
        <x:v>36.64626038234656</x:v>
      </x:c>
      <x:c r="D8" s="55" t="n">
        <x:f>ROUND(C8,0)</x:f>
        <x:v>37</x:v>
      </x:c>
      <x:c r="E8" s="56" t="n">
        <x:f>D8</x:f>
        <x:v>37</x:v>
      </x:c>
      <x:c r="F8" s="56" t="n">
        <x:f>0</x:f>
        <x:v>0</x:v>
      </x:c>
      <x:c r="G8" s="56" t="n">
        <x:f>0</x:f>
        <x:v>0</x:v>
      </x:c>
      <x:c r="H8" s="53" t="n">
        <x:f>IF(D8&lt;=MIN($L$7:$L$23),INDEX($M$7:$M$23,1),IF(D8&gt;=MAX($L$7:$L$23),INDEX($M$7:$M$23,ROWS($L$7:$L$23)),INDEX($M$7:$M$23,MATCH(D8,$L$7:$L$23,1))+(D8-INDEX($L$7:$L$23,MATCH(D8,$L$7:$L$23,1)))*(INDEX($M$7:$M$23,MATCH(D8,$L$7:$L$23,1)+1)-INDEX($M$7:$M$23,MATCH(D8,$L$7:$L$23,1)))/(INDEX($L$7:$L$23,MATCH(D8,$L$7:$L$23,1)+1)-INDEX($L$7:$L$23,MATCH(D8,$L$7:$L$23,1)))))</x:f>
        <x:v>1.1936770833333332</x:v>
      </x:c>
      <x:c r="I8" s="53" t="n">
        <x:f>H8-B8</x:f>
        <x:v>0.018677083333333178</x:v>
      </x:c>
      <x:c r="J8" s="57" t="n">
        <x:f>IF(B8=0,0,ABS(I8)/B8)</x:f>
        <x:v>0.015895390070921854</x:v>
      </x:c>
      <x:c r="K8" s="1"/>
      <x:c r="L8" s="44" t="n">
        <x:v>15</x:v>
      </x:c>
      <x:c r="M8" s="45" t="n">
        <x:v>0.3528833333333333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2" t="n">
        <x:v>2</x:v>
      </x:c>
      <x:c r="B9" s="53" t="n">
        <x:f>$B$3*A9/$E$3</x:f>
        <x:v>2.35</x:v>
      </x:c>
      <x:c r="C9" s="54" t="n">
        <x:f>IF(B9&lt;=MIN($M$7:$M$23),INDEX($L$7:$L$23,1),IF(B9&gt;=MAX($M$7:$M$23),INDEX($L$7:$L$23,ROWS($L$7:$L$23)),INDEX($L$7:$L$23,MATCH(B9,$M$7:$M$23,1))+(B9-INDEX($M$7:$M$23,MATCH(B9,$M$7:$M$23,1)))*(INDEX($L$7:$L$23,MATCH(B9,$M$7:$M$23,1)+1)-INDEX($L$7:$L$23,MATCH(B9,$M$7:$M$23,1)))/(INDEX($M$7:$M$23,MATCH(B9,$M$7:$M$23,1)+1)-INDEX($M$7:$M$23,MATCH(B9,$M$7:$M$23,1)))))</x:f>
        <x:v>54.11656441717791</x:v>
      </x:c>
      <x:c r="D9" s="55" t="n">
        <x:f>ROUND(C9,0)</x:f>
        <x:v>54</x:v>
      </x:c>
      <x:c r="E9" s="56" t="n">
        <x:f>D9</x:f>
        <x:v>54</x:v>
      </x:c>
      <x:c r="F9" s="56" t="n">
        <x:f>0</x:f>
        <x:v>0</x:v>
      </x:c>
      <x:c r="G9" s="56" t="n">
        <x:f>0</x:f>
        <x:v>0</x:v>
      </x:c>
      <x:c r="H9" s="53" t="n">
        <x:f>IF(D9&lt;=MIN($L$7:$L$23),INDEX($M$7:$M$23,1),IF(D9&gt;=MAX($L$7:$L$23),INDEX($M$7:$M$23,ROWS($L$7:$L$23)),INDEX($M$7:$M$23,MATCH(D9,$L$7:$L$23,1))+(D9-INDEX($L$7:$L$23,MATCH(D9,$L$7:$L$23,1)))*(INDEX($M$7:$M$23,MATCH(D9,$L$7:$L$23,1)+1)-INDEX($M$7:$M$23,MATCH(D9,$L$7:$L$23,1)))/(INDEX($L$7:$L$23,MATCH(D9,$L$7:$L$23,1)+1)-INDEX($L$7:$L$23,MATCH(D9,$L$7:$L$23,1)))))</x:f>
        <x:v>2.3397083333333333</x:v>
      </x:c>
      <x:c r="I9" s="53" t="n">
        <x:f>H9-B9</x:f>
        <x:v>-0.01029166666666681</x:v>
      </x:c>
      <x:c r="J9" s="57" t="n">
        <x:f>IF(B9=0,0,ABS(I9)/B9)</x:f>
        <x:v>0.004379432624113536</x:v>
      </x:c>
      <x:c r="K9" s="1"/>
      <x:c r="L9" s="44" t="n">
        <x:v>31</x:v>
      </x:c>
      <x:c r="M9" s="45" t="n">
        <x:v>0.8768833333333332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2" t="n">
        <x:v>3</x:v>
      </x:c>
      <x:c r="B10" s="53" t="n">
        <x:f>$B$3*A10/$E$3</x:f>
        <x:v>3.525</x:v>
      </x:c>
      <x:c r="C10" s="54" t="n">
        <x:f>IF(B10&lt;=MIN($M$7:$M$23),INDEX($L$7:$L$23,1),IF(B10&gt;=MAX($M$7:$M$23),INDEX($L$7:$L$23,ROWS($L$7:$L$23)),INDEX($L$7:$L$23,MATCH(B10,$M$7:$M$23,1))+(B10-INDEX($M$7:$M$23,MATCH(B10,$M$7:$M$23,1)))*(INDEX($L$7:$L$23,MATCH(B10,$M$7:$M$23,1)+1)-INDEX($L$7:$L$23,MATCH(B10,$M$7:$M$23,1)))/(INDEX($M$7:$M$23,MATCH(B10,$M$7:$M$23,1)+1)-INDEX($M$7:$M$23,MATCH(B10,$M$7:$M$23,1)))))</x:f>
        <x:v>67.32023960373229</x:v>
      </x:c>
      <x:c r="D10" s="55" t="n">
        <x:f>ROUND(C10,0)</x:f>
        <x:v>67</x:v>
      </x:c>
      <x:c r="E10" s="56" t="n">
        <x:f>D10</x:f>
        <x:v>67</x:v>
      </x:c>
      <x:c r="F10" s="56" t="n">
        <x:f>0</x:f>
        <x:v>0</x:v>
      </x:c>
      <x:c r="G10" s="56" t="n">
        <x:f>0</x:f>
        <x:v>0</x:v>
      </x:c>
      <x:c r="H10" s="53" t="n">
        <x:f>IF(D10&lt;=MIN($L$7:$L$23),INDEX($M$7:$M$23,1),IF(D10&gt;=MAX($L$7:$L$23),INDEX($M$7:$M$23,ROWS($L$7:$L$23)),INDEX($M$7:$M$23,MATCH(D10,$L$7:$L$23,1))+(D10-INDEX($L$7:$L$23,MATCH(D10,$L$7:$L$23,1)))*(INDEX($M$7:$M$23,MATCH(D10,$L$7:$L$23,1)+1)-INDEX($M$7:$M$23,MATCH(D10,$L$7:$L$23,1)))/(INDEX($L$7:$L$23,MATCH(D10,$L$7:$L$23,1)+1)-INDEX($L$7:$L$23,MATCH(D10,$L$7:$L$23,1)))))</x:f>
        <x:v>3.4960416666666667</x:v>
      </x:c>
      <x:c r="I10" s="53" t="n">
        <x:f>H10-B10</x:f>
        <x:v>-0.028958333333333197</x:v>
      </x:c>
      <x:c r="J10" s="57" t="n">
        <x:f>IF(B10=0,0,ABS(I10)/B10)</x:f>
        <x:v>0.008215130023640623</x:v>
      </x:c>
      <x:c r="K10" s="1"/>
      <x:c r="L10" s="44" t="n">
        <x:v>47</x:v>
      </x:c>
      <x:c r="M10" s="45" t="n">
        <x:v>1.7216666666666667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2" t="n">
        <x:v>4</x:v>
      </x:c>
      <x:c r="B11" s="53" t="n">
        <x:f>$B$3*A11/$E$3</x:f>
        <x:v>4.7</x:v>
      </x:c>
      <x:c r="C11" s="54" t="n">
        <x:f>IF(B11&lt;=MIN($M$7:$M$23),INDEX($L$7:$L$23,1),IF(B11&gt;=MAX($M$7:$M$23),INDEX($L$7:$L$23,ROWS($L$7:$L$23)),INDEX($L$7:$L$23,MATCH(B11,$M$7:$M$23,1))+(B11-INDEX($M$7:$M$23,MATCH(B11,$M$7:$M$23,1)))*(INDEX($L$7:$L$23,MATCH(B11,$M$7:$M$23,1)+1)-INDEX($L$7:$L$23,MATCH(B11,$M$7:$M$23,1)))/(INDEX($M$7:$M$23,MATCH(B11,$M$7:$M$23,1)+1)-INDEX($M$7:$M$23,MATCH(B11,$M$7:$M$23,1)))))</x:f>
        <x:v>79.77248104008667</x:v>
      </x:c>
      <x:c r="D11" s="55" t="n">
        <x:f>ROUND(C11,0)</x:f>
        <x:v>80</x:v>
      </x:c>
      <x:c r="E11" s="56" t="n">
        <x:f>D11</x:f>
        <x:v>80</x:v>
      </x:c>
      <x:c r="F11" s="56" t="n">
        <x:f>0</x:f>
        <x:v>0</x:v>
      </x:c>
      <x:c r="G11" s="56" t="n">
        <x:f>0</x:f>
        <x:v>0</x:v>
      </x:c>
      <x:c r="H11" s="53" t="n">
        <x:f>IF(D11&lt;=MIN($L$7:$L$23),INDEX($M$7:$M$23,1),IF(D11&gt;=MAX($L$7:$L$23),INDEX($M$7:$M$23,ROWS($L$7:$L$23)),INDEX($M$7:$M$23,MATCH(D11,$L$7:$L$23,1))+(D11-INDEX($L$7:$L$23,MATCH(D11,$L$7:$L$23,1)))*(INDEX($M$7:$M$23,MATCH(D11,$L$7:$L$23,1)+1)-INDEX($M$7:$M$23,MATCH(D11,$L$7:$L$23,1)))/(INDEX($L$7:$L$23,MATCH(D11,$L$7:$L$23,1)+1)-INDEX($L$7:$L$23,MATCH(D11,$L$7:$L$23,1)))))</x:f>
        <x:v>4.734999999999999</x:v>
      </x:c>
      <x:c r="I11" s="53" t="n">
        <x:f>H11-B11</x:f>
        <x:v>0.034999999999999254</x:v>
      </x:c>
      <x:c r="J11" s="57" t="n">
        <x:f>IF(B11=0,0,ABS(I11)/B11)</x:f>
        <x:v>0.007446808510638139</x:v>
      </x:c>
      <x:c r="K11" s="1"/>
      <x:c r="L11" s="44" t="n">
        <x:v>63</x:v>
      </x:c>
      <x:c r="M11" s="45" t="n">
        <x:v>3.134333333333333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2" t="n">
        <x:v>5</x:v>
      </x:c>
      <x:c r="B12" s="53" t="n">
        <x:f>$B$3*A12/$E$3</x:f>
        <x:v>5.875</x:v>
      </x:c>
      <x:c r="C12" s="54" t="n">
        <x:f>IF(B12&lt;=MIN($M$7:$M$23),INDEX($L$7:$L$23,1),IF(B12&gt;=MAX($M$7:$M$23),INDEX($L$7:$L$23,ROWS($L$7:$L$23)),INDEX($L$7:$L$23,MATCH(B12,$M$7:$M$23,1))+(B12-INDEX($M$7:$M$23,MATCH(B12,$M$7:$M$23,1)))*(INDEX($L$7:$L$23,MATCH(B12,$M$7:$M$23,1)+1)-INDEX($L$7:$L$23,MATCH(B12,$M$7:$M$23,1)))/(INDEX($M$7:$M$23,MATCH(B12,$M$7:$M$23,1)+1)-INDEX($M$7:$M$23,MATCH(B12,$M$7:$M$23,1)))))</x:f>
        <x:v>87.41061755146262</x:v>
      </x:c>
      <x:c r="D12" s="55" t="n">
        <x:f>ROUND(C12,0)</x:f>
        <x:v>87</x:v>
      </x:c>
      <x:c r="E12" s="56" t="n">
        <x:f>D12</x:f>
        <x:v>87</x:v>
      </x:c>
      <x:c r="F12" s="56" t="n">
        <x:f>0</x:f>
        <x:v>0</x:v>
      </x:c>
      <x:c r="G12" s="56" t="n">
        <x:f>0</x:f>
        <x:v>0</x:v>
      </x:c>
      <x:c r="H12" s="53" t="n">
        <x:f>IF(D12&lt;=MIN($L$7:$L$23),INDEX($M$7:$M$23,1),IF(D12&gt;=MAX($L$7:$L$23),INDEX($M$7:$M$23,ROWS($L$7:$L$23)),INDEX($M$7:$M$23,MATCH(D12,$L$7:$L$23,1))+(D12-INDEX($L$7:$L$23,MATCH(D12,$L$7:$L$23,1)))*(INDEX($M$7:$M$23,MATCH(D12,$L$7:$L$23,1)+1)-INDEX($M$7:$M$23,MATCH(D12,$L$7:$L$23,1)))/(INDEX($L$7:$L$23,MATCH(D12,$L$7:$L$23,1)+1)-INDEX($L$7:$L$23,MATCH(D12,$L$7:$L$23,1)))))</x:f>
        <x:v>5.8118333333333325</x:v>
      </x:c>
      <x:c r="I12" s="53" t="n">
        <x:f>H12-B12</x:f>
        <x:v>-0.06316666666666748</x:v>
      </x:c>
      <x:c r="J12" s="57" t="n">
        <x:f>IF(B12=0,0,ABS(I12)/B12)</x:f>
        <x:v>0.010751773049645528</x:v>
      </x:c>
      <x:c r="K12" s="1"/>
      <x:c r="L12" s="44" t="n">
        <x:v>79</x:v>
      </x:c>
      <x:c r="M12" s="45" t="n">
        <x:v>4.581166666666666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 t="n">
        <x:v>6</x:v>
      </x:c>
      <x:c r="B13" s="53" t="n">
        <x:f>$B$3*A13/$E$3</x:f>
        <x:v>7.05</x:v>
      </x:c>
      <x:c r="C13" s="54" t="n">
        <x:f>IF(B13&lt;=MIN($M$7:$M$23),INDEX($L$7:$L$23,1),IF(B13&gt;=MAX($M$7:$M$23),INDEX($L$7:$L$23,ROWS($L$7:$L$23)),INDEX($L$7:$L$23,MATCH(B13,$M$7:$M$23,1))+(B13-INDEX($M$7:$M$23,MATCH(B13,$M$7:$M$23,1)))*(INDEX($L$7:$L$23,MATCH(B13,$M$7:$M$23,1)+1)-INDEX($L$7:$L$23,MATCH(B13,$M$7:$M$23,1)))/(INDEX($M$7:$M$23,MATCH(B13,$M$7:$M$23,1)+1)-INDEX($M$7:$M$23,MATCH(B13,$M$7:$M$23,1)))))</x:f>
        <x:v>95.06236466002599</x:v>
      </x:c>
      <x:c r="D13" s="55" t="n">
        <x:f>ROUND(C13,0)</x:f>
        <x:v>95</x:v>
      </x:c>
      <x:c r="E13" s="56" t="n">
        <x:f>D13</x:f>
        <x:v>95</x:v>
      </x:c>
      <x:c r="F13" s="56" t="n">
        <x:f>0</x:f>
        <x:v>0</x:v>
      </x:c>
      <x:c r="G13" s="56" t="n">
        <x:f>0</x:f>
        <x:v>0</x:v>
      </x:c>
      <x:c r="H13" s="53" t="n">
        <x:f>IF(D13&lt;=MIN($L$7:$L$23),INDEX($M$7:$M$23,1),IF(D13&gt;=MAX($L$7:$L$23),INDEX($M$7:$M$23,ROWS($L$7:$L$23)),INDEX($M$7:$M$23,MATCH(D13,$L$7:$L$23,1))+(D13-INDEX($L$7:$L$23,MATCH(D13,$L$7:$L$23,1)))*(INDEX($M$7:$M$23,MATCH(D13,$L$7:$L$23,1)+1)-INDEX($M$7:$M$23,MATCH(D13,$L$7:$L$23,1)))/(INDEX($L$7:$L$23,MATCH(D13,$L$7:$L$23,1)+1)-INDEX($L$7:$L$23,MATCH(D13,$L$7:$L$23,1)))))</x:f>
        <x:v>7.0424999999999995</x:v>
      </x:c>
      <x:c r="I13" s="53" t="n">
        <x:f>H13-B13</x:f>
        <x:v>-0.007500000000000284</x:v>
      </x:c>
      <x:c r="J13" s="57" t="n">
        <x:f>IF(B13=0,0,ABS(I13)/B13)</x:f>
        <x:v>0.001063829787234083</x:v>
      </x:c>
      <x:c r="K13" s="1"/>
      <x:c r="L13" s="44" t="n">
        <x:v>95</x:v>
      </x:c>
      <x:c r="M13" s="45" t="n">
        <x:v>7.0424999999999995</x:v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2" t="n">
        <x:v>7</x:v>
      </x:c>
      <x:c r="B14" s="53" t="n">
        <x:f>$B$3*A14/$E$3</x:f>
        <x:v>8.225</x:v>
      </x:c>
      <x:c r="C14" s="54" t="n">
        <x:f>IF(B14&lt;=MIN($M$7:$M$23),INDEX($L$7:$L$23,1),IF(B14&gt;=MAX($M$7:$M$23),INDEX($L$7:$L$23,ROWS($L$7:$L$23)),INDEX($L$7:$L$23,MATCH(B14,$M$7:$M$23,1))+(B14-INDEX($M$7:$M$23,MATCH(B14,$M$7:$M$23,1)))*(INDEX($L$7:$L$23,MATCH(B14,$M$7:$M$23,1)+1)-INDEX($L$7:$L$23,MATCH(B14,$M$7:$M$23,1)))/(INDEX($M$7:$M$23,MATCH(B14,$M$7:$M$23,1)+1)-INDEX($M$7:$M$23,MATCH(B14,$M$7:$M$23,1)))))</x:f>
        <x:v>104.83282806409701</x:v>
      </x:c>
      <x:c r="D14" s="55" t="n">
        <x:f>ROUND(C14,0)</x:f>
        <x:v>105</x:v>
      </x:c>
      <x:c r="E14" s="56" t="n">
        <x:f>D14</x:f>
        <x:v>105</x:v>
      </x:c>
      <x:c r="F14" s="56" t="n">
        <x:f>0</x:f>
        <x:v>0</x:v>
      </x:c>
      <x:c r="G14" s="56" t="n">
        <x:f>0</x:f>
        <x:v>0</x:v>
      </x:c>
      <x:c r="H14" s="53" t="n">
        <x:f>IF(D14&lt;=MIN($L$7:$L$23),INDEX($M$7:$M$23,1),IF(D14&gt;=MAX($L$7:$L$23),INDEX($M$7:$M$23,ROWS($L$7:$L$23)),INDEX($M$7:$M$23,MATCH(D14,$L$7:$L$23,1))+(D14-INDEX($L$7:$L$23,MATCH(D14,$L$7:$L$23,1)))*(INDEX($M$7:$M$23,MATCH(D14,$L$7:$L$23,1)+1)-INDEX($M$7:$M$23,MATCH(D14,$L$7:$L$23,1)))/(INDEX($L$7:$L$23,MATCH(D14,$L$7:$L$23,1)+1)-INDEX($L$7:$L$23,MATCH(D14,$L$7:$L$23,1)))))</x:f>
        <x:v>8.245104166666666</x:v>
      </x:c>
      <x:c r="I14" s="53" t="n">
        <x:f>H14-B14</x:f>
        <x:v>0.020104166666666146</x:v>
      </x:c>
      <x:c r="J14" s="57" t="n">
        <x:f>IF(B14=0,0,ABS(I14)/B14)</x:f>
        <x:v>0.0024442755825733915</x:v>
      </x:c>
      <x:c r="K14" s="1"/>
      <x:c r="L14" s="44" t="n">
        <x:v>111</x:v>
      </x:c>
      <x:c r="M14" s="45" t="n">
        <x:v>8.966666666666665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2" t="n">
        <x:v>8</x:v>
      </x:c>
      <x:c r="B15" s="53" t="n">
        <x:f>$B$3*A15/$E$3</x:f>
        <x:v>9.4</x:v>
      </x:c>
      <x:c r="C15" s="54" t="n">
        <x:f>IF(B15&lt;=MIN($M$7:$M$23),INDEX($L$7:$L$23,1),IF(B15&gt;=MAX($M$7:$M$23),INDEX($L$7:$L$23,ROWS($L$7:$L$23)),INDEX($L$7:$L$23,MATCH(B15,$M$7:$M$23,1))+(B15-INDEX($M$7:$M$23,MATCH(B15,$M$7:$M$23,1)))*(INDEX($L$7:$L$23,MATCH(B15,$M$7:$M$23,1)+1)-INDEX($L$7:$L$23,MATCH(B15,$M$7:$M$23,1)))/(INDEX($M$7:$M$23,MATCH(B15,$M$7:$M$23,1)+1)-INDEX($M$7:$M$23,MATCH(B15,$M$7:$M$23,1)))))</x:f>
        <x:v>113.57744733581166</x:v>
      </x:c>
      <x:c r="D15" s="55" t="n">
        <x:f>ROUND(C15,0)</x:f>
        <x:v>114</x:v>
      </x:c>
      <x:c r="E15" s="56" t="n">
        <x:f>D15</x:f>
        <x:v>114</x:v>
      </x:c>
      <x:c r="F15" s="56" t="n">
        <x:f>0</x:f>
        <x:v>0</x:v>
      </x:c>
      <x:c r="G15" s="56" t="n">
        <x:f>0</x:f>
        <x:v>0</x:v>
      </x:c>
      <x:c r="H15" s="53" t="n">
        <x:f>IF(D15&lt;=MIN($L$7:$L$23),INDEX($M$7:$M$23,1),IF(D15&gt;=MAX($L$7:$L$23),INDEX($M$7:$M$23,ROWS($L$7:$L$23)),INDEX($M$7:$M$23,MATCH(D15,$L$7:$L$23,1))+(D15-INDEX($L$7:$L$23,MATCH(D15,$L$7:$L$23,1)))*(INDEX($M$7:$M$23,MATCH(D15,$L$7:$L$23,1)+1)-INDEX($M$7:$M$23,MATCH(D15,$L$7:$L$23,1)))/(INDEX($L$7:$L$23,MATCH(D15,$L$7:$L$23,1)+1)-INDEX($L$7:$L$23,MATCH(D15,$L$7:$L$23,1)))))</x:f>
        <x:v>9.471041666666666</x:v>
      </x:c>
      <x:c r="I15" s="53" t="n">
        <x:f>H15-B15</x:f>
        <x:v>0.071041666666666</x:v>
      </x:c>
      <x:c r="J15" s="57" t="n">
        <x:f>IF(B15=0,0,ABS(I15)/B15)</x:f>
        <x:v>0.007557624113475107</x:v>
      </x:c>
      <x:c r="K15" s="1"/>
      <x:c r="L15" s="44" t="n">
        <x:v>127</x:v>
      </x:c>
      <x:c r="M15" s="45" t="n">
        <x:v>11.65666666666667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2" t="n">
        <x:v>9</x:v>
      </x:c>
      <x:c r="B16" s="53" t="n">
        <x:f>$B$3*A16/$E$3</x:f>
        <x:v>10.575</x:v>
      </x:c>
      <x:c r="C16" s="54" t="n">
        <x:f>IF(B16&lt;=MIN($M$7:$M$23),INDEX($L$7:$L$23,1),IF(B16&gt;=MAX($M$7:$M$23),INDEX($L$7:$L$23,ROWS($L$7:$L$23)),INDEX($L$7:$L$23,MATCH(B16,$M$7:$M$23,1))+(B16-INDEX($M$7:$M$23,MATCH(B16,$M$7:$M$23,1)))*(INDEX($L$7:$L$23,MATCH(B16,$M$7:$M$23,1)+1)-INDEX($L$7:$L$23,MATCH(B16,$M$7:$M$23,1)))/(INDEX($M$7:$M$23,MATCH(B16,$M$7:$M$23,1)+1)-INDEX($M$7:$M$23,MATCH(B16,$M$7:$M$23,1)))))</x:f>
        <x:v>120.56629491945476</x:v>
      </x:c>
      <x:c r="D16" s="55" t="n">
        <x:f>ROUND(C16,0)</x:f>
        <x:v>121</x:v>
      </x:c>
      <x:c r="E16" s="56" t="n">
        <x:f>D16</x:f>
        <x:v>121</x:v>
      </x:c>
      <x:c r="F16" s="56" t="n">
        <x:f>0</x:f>
        <x:v>0</x:v>
      </x:c>
      <x:c r="G16" s="56" t="n">
        <x:f>0</x:f>
        <x:v>0</x:v>
      </x:c>
      <x:c r="H16" s="53" t="n">
        <x:f>IF(D16&lt;=MIN($L$7:$L$23),INDEX($M$7:$M$23,1),IF(D16&gt;=MAX($L$7:$L$23),INDEX($M$7:$M$23,ROWS($L$7:$L$23)),INDEX($M$7:$M$23,MATCH(D16,$L$7:$L$23,1))+(D16-INDEX($L$7:$L$23,MATCH(D16,$L$7:$L$23,1)))*(INDEX($M$7:$M$23,MATCH(D16,$L$7:$L$23,1)+1)-INDEX($M$7:$M$23,MATCH(D16,$L$7:$L$23,1)))/(INDEX($L$7:$L$23,MATCH(D16,$L$7:$L$23,1)+1)-INDEX($L$7:$L$23,MATCH(D16,$L$7:$L$23,1)))))</x:f>
        <x:v>10.647916666666667</x:v>
      </x:c>
      <x:c r="I16" s="53" t="n">
        <x:f>H16-B16</x:f>
        <x:v>0.07291666666666785</x:v>
      </x:c>
      <x:c r="J16" s="57" t="n">
        <x:f>IF(B16=0,0,ABS(I16)/B16)</x:f>
        <x:v>0.006895193065405944</x:v>
      </x:c>
      <x:c r="K16" s="1"/>
      <x:c r="L16" s="44" t="n">
        <x:v>143</x:v>
      </x:c>
      <x:c r="M16" s="45" t="n">
        <x:v>15.411666666666669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2" t="n">
        <x:v>10</x:v>
      </x:c>
      <x:c r="B17" s="53" t="n">
        <x:f>$B$3*A17/$E$3</x:f>
        <x:v>11.75</x:v>
      </x:c>
      <x:c r="C17" s="54" t="n">
        <x:f>IF(B17&lt;=MIN($M$7:$M$23),INDEX($L$7:$L$23,1),IF(B17&gt;=MAX($M$7:$M$23),INDEX($L$7:$L$23,ROWS($L$7:$L$23)),INDEX($L$7:$L$23,MATCH(B17,$M$7:$M$23,1))+(B17-INDEX($M$7:$M$23,MATCH(B17,$M$7:$M$23,1)))*(INDEX($L$7:$L$23,MATCH(B17,$M$7:$M$23,1)+1)-INDEX($L$7:$L$23,MATCH(B17,$M$7:$M$23,1)))/(INDEX($M$7:$M$23,MATCH(B17,$M$7:$M$23,1)+1)-INDEX($M$7:$M$23,MATCH(B17,$M$7:$M$23,1)))))</x:f>
        <x:v>127.39769196626719</x:v>
      </x:c>
      <x:c r="D17" s="55" t="n">
        <x:f>ROUND(C17,0)</x:f>
        <x:v>127</x:v>
      </x:c>
      <x:c r="E17" s="56" t="n">
        <x:f>D17</x:f>
        <x:v>127</x:v>
      </x:c>
      <x:c r="F17" s="56" t="n">
        <x:f>0</x:f>
        <x:v>0</x:v>
      </x:c>
      <x:c r="G17" s="56" t="n">
        <x:f>0</x:f>
        <x:v>0</x:v>
      </x:c>
      <x:c r="H17" s="53" t="n">
        <x:f>IF(D17&lt;=MIN($L$7:$L$23),INDEX($M$7:$M$23,1),IF(D17&gt;=MAX($L$7:$L$23),INDEX($M$7:$M$23,ROWS($L$7:$L$23)),INDEX($M$7:$M$23,MATCH(D17,$L$7:$L$23,1))+(D17-INDEX($L$7:$L$23,MATCH(D17,$L$7:$L$23,1)))*(INDEX($M$7:$M$23,MATCH(D17,$L$7:$L$23,1)+1)-INDEX($M$7:$M$23,MATCH(D17,$L$7:$L$23,1)))/(INDEX($L$7:$L$23,MATCH(D17,$L$7:$L$23,1)+1)-INDEX($L$7:$L$23,MATCH(D17,$L$7:$L$23,1)))))</x:f>
        <x:v>11.65666666666667</x:v>
      </x:c>
      <x:c r="I17" s="53" t="n">
        <x:f>H17-B17</x:f>
        <x:v>-0.09333333333333016</x:v>
      </x:c>
      <x:c r="J17" s="57" t="n">
        <x:f>IF(B17=0,0,ABS(I17)/B17)</x:f>
        <x:v>0.007943262411347247</x:v>
      </x:c>
      <x:c r="K17" s="1"/>
      <x:c r="L17" s="44" t="n">
        <x:v>159</x:v>
      </x:c>
      <x:c r="M17" s="45" t="n">
        <x:v>18.336666666666666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2" t="n">
        <x:v>11</x:v>
      </x:c>
      <x:c r="B18" s="53" t="n">
        <x:f>$B$3*A18/$E$3</x:f>
        <x:v>12.925</x:v>
      </x:c>
      <x:c r="C18" s="54" t="n">
        <x:f>IF(B18&lt;=MIN($M$7:$M$23),INDEX($L$7:$L$23,1),IF(B18&gt;=MAX($M$7:$M$23),INDEX($L$7:$L$23,ROWS($L$7:$L$23)),INDEX($L$7:$L$23,MATCH(B18,$M$7:$M$23,1))+(B18-INDEX($M$7:$M$23,MATCH(B18,$M$7:$M$23,1)))*(INDEX($L$7:$L$23,MATCH(B18,$M$7:$M$23,1)+1)-INDEX($L$7:$L$23,MATCH(B18,$M$7:$M$23,1)))/(INDEX($M$7:$M$23,MATCH(B18,$M$7:$M$23,1)+1)-INDEX($M$7:$M$23,MATCH(B18,$M$7:$M$23,1)))))</x:f>
        <x:v>132.40434975588104</x:v>
      </x:c>
      <x:c r="D18" s="55" t="n">
        <x:f>ROUND(C18,0)</x:f>
        <x:v>132</x:v>
      </x:c>
      <x:c r="E18" s="56" t="n">
        <x:f>D18</x:f>
        <x:v>132</x:v>
      </x:c>
      <x:c r="F18" s="56" t="n">
        <x:f>0</x:f>
        <x:v>0</x:v>
      </x:c>
      <x:c r="G18" s="56" t="n">
        <x:f>0</x:f>
        <x:v>0</x:v>
      </x:c>
      <x:c r="H18" s="53" t="n">
        <x:f>IF(D18&lt;=MIN($L$7:$L$23),INDEX($M$7:$M$23,1),IF(D18&gt;=MAX($L$7:$L$23),INDEX($M$7:$M$23,ROWS($L$7:$L$23)),INDEX($M$7:$M$23,MATCH(D18,$L$7:$L$23,1))+(D18-INDEX($L$7:$L$23,MATCH(D18,$L$7:$L$23,1)))*(INDEX($M$7:$M$23,MATCH(D18,$L$7:$L$23,1)+1)-INDEX($M$7:$M$23,MATCH(D18,$L$7:$L$23,1)))/(INDEX($L$7:$L$23,MATCH(D18,$L$7:$L$23,1)+1)-INDEX($L$7:$L$23,MATCH(D18,$L$7:$L$23,1)))))</x:f>
        <x:v>12.83010416666667</x:v>
      </x:c>
      <x:c r="I18" s="53" t="n">
        <x:f>H18-B18</x:f>
        <x:v>-0.09489583333333051</x:v>
      </x:c>
      <x:c r="J18" s="57" t="n">
        <x:f>IF(B18=0,0,ABS(I18)/B18)</x:f>
        <x:v>0.007342037395228666</x:v>
      </x:c>
      <x:c r="K18" s="1"/>
      <x:c r="L18" s="44" t="n">
        <x:v>175</x:v>
      </x:c>
      <x:c r="M18" s="45" t="n">
        <x:v>22.544999999999998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2" t="n">
        <x:v>12</x:v>
      </x:c>
      <x:c r="B19" s="53" t="n">
        <x:f>$B$3*A19/$E$3</x:f>
        <x:v>14.1</x:v>
      </x:c>
      <x:c r="C19" s="54" t="n">
        <x:f>IF(B19&lt;=MIN($M$7:$M$23),INDEX($L$7:$L$23,1),IF(B19&gt;=MAX($M$7:$M$23),INDEX($L$7:$L$23,ROWS($L$7:$L$23)),INDEX($L$7:$L$23,MATCH(B19,$M$7:$M$23,1))+(B19-INDEX($M$7:$M$23,MATCH(B19,$M$7:$M$23,1)))*(INDEX($L$7:$L$23,MATCH(B19,$M$7:$M$23,1)+1)-INDEX($L$7:$L$23,MATCH(B19,$M$7:$M$23,1)))/(INDEX($M$7:$M$23,MATCH(B19,$M$7:$M$23,1)+1)-INDEX($M$7:$M$23,MATCH(B19,$M$7:$M$23,1)))))</x:f>
        <x:v>137.4110075454949</x:v>
      </x:c>
      <x:c r="D19" s="55" t="n">
        <x:f>ROUND(C19,0)</x:f>
        <x:v>137</x:v>
      </x:c>
      <x:c r="E19" s="56" t="n">
        <x:f>D19</x:f>
        <x:v>137</x:v>
      </x:c>
      <x:c r="F19" s="56" t="n">
        <x:f>0</x:f>
        <x:v>0</x:v>
      </x:c>
      <x:c r="G19" s="56" t="n">
        <x:f>0</x:f>
        <x:v>0</x:v>
      </x:c>
      <x:c r="H19" s="53" t="n">
        <x:f>IF(D19&lt;=MIN($L$7:$L$23),INDEX($M$7:$M$23,1),IF(D19&gt;=MAX($L$7:$L$23),INDEX($M$7:$M$23,ROWS($L$7:$L$23)),INDEX($M$7:$M$23,MATCH(D19,$L$7:$L$23,1))+(D19-INDEX($L$7:$L$23,MATCH(D19,$L$7:$L$23,1)))*(INDEX($M$7:$M$23,MATCH(D19,$L$7:$L$23,1)+1)-INDEX($M$7:$M$23,MATCH(D19,$L$7:$L$23,1)))/(INDEX($L$7:$L$23,MATCH(D19,$L$7:$L$23,1)+1)-INDEX($L$7:$L$23,MATCH(D19,$L$7:$L$23,1)))))</x:f>
        <x:v>14.003541666666669</x:v>
      </x:c>
      <x:c r="I19" s="53" t="n">
        <x:f>H19-B19</x:f>
        <x:v>-0.09645833333333087</x:v>
      </x:c>
      <x:c r="J19" s="57" t="n">
        <x:f>IF(B19=0,0,ABS(I19)/B19)</x:f>
        <x:v>0.006841016548463182</x:v>
      </x:c>
      <x:c r="K19" s="1"/>
      <x:c r="L19" s="44" t="n">
        <x:v>191</x:v>
      </x:c>
      <x:c r="M19" s="45" t="n">
        <x:v>27.445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2" t="n">
        <x:v>13</x:v>
      </x:c>
      <x:c r="B20" s="53" t="n">
        <x:f>$B$3*A20/$E$3</x:f>
        <x:v>15.275</x:v>
      </x:c>
      <x:c r="C20" s="54" t="n">
        <x:f>IF(B20&lt;=MIN($M$7:$M$23),INDEX($L$7:$L$23,1),IF(B20&gt;=MAX($M$7:$M$23),INDEX($L$7:$L$23,ROWS($L$7:$L$23)),INDEX($L$7:$L$23,MATCH(B20,$M$7:$M$23,1))+(B20-INDEX($M$7:$M$23,MATCH(B20,$M$7:$M$23,1)))*(INDEX($L$7:$L$23,MATCH(B20,$M$7:$M$23,1)+1)-INDEX($L$7:$L$23,MATCH(B20,$M$7:$M$23,1)))/(INDEX($M$7:$M$23,MATCH(B20,$M$7:$M$23,1)+1)-INDEX($M$7:$M$23,MATCH(B20,$M$7:$M$23,1)))))</x:f>
        <x:v>142.41766533510872</x:v>
      </x:c>
      <x:c r="D20" s="55" t="n">
        <x:f>ROUND(C20,0)</x:f>
        <x:v>142</x:v>
      </x:c>
      <x:c r="E20" s="56" t="n">
        <x:f>D20</x:f>
        <x:v>142</x:v>
      </x:c>
      <x:c r="F20" s="56" t="n">
        <x:f>0</x:f>
        <x:v>0</x:v>
      </x:c>
      <x:c r="G20" s="56" t="n">
        <x:f>0</x:f>
        <x:v>0</x:v>
      </x:c>
      <x:c r="H20" s="53" t="n">
        <x:f>IF(D20&lt;=MIN($L$7:$L$23),INDEX($M$7:$M$23,1),IF(D20&gt;=MAX($L$7:$L$23),INDEX($M$7:$M$23,ROWS($L$7:$L$23)),INDEX($M$7:$M$23,MATCH(D20,$L$7:$L$23,1))+(D20-INDEX($L$7:$L$23,MATCH(D20,$L$7:$L$23,1)))*(INDEX($M$7:$M$23,MATCH(D20,$L$7:$L$23,1)+1)-INDEX($M$7:$M$23,MATCH(D20,$L$7:$L$23,1)))/(INDEX($L$7:$L$23,MATCH(D20,$L$7:$L$23,1)+1)-INDEX($L$7:$L$23,MATCH(D20,$L$7:$L$23,1)))))</x:f>
        <x:v>15.17697916666667</x:v>
      </x:c>
      <x:c r="I20" s="53" t="n">
        <x:f>H20-B20</x:f>
        <x:v>-0.09802083333333123</x:v>
      </x:c>
      <x:c r="J20" s="57" t="n">
        <x:f>IF(B20=0,0,ABS(I20)/B20)</x:f>
        <x:v>0.006417075831969311</x:v>
      </x:c>
      <x:c r="K20" s="1"/>
      <x:c r="L20" s="44" t="n">
        <x:v>207</x:v>
      </x:c>
      <x:c r="M20" s="45" t="n">
        <x:v>30.974999999999998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2" t="n">
        <x:v>14</x:v>
      </x:c>
      <x:c r="B21" s="53" t="n">
        <x:f>$B$3*A21/$E$3</x:f>
        <x:v>16.45</x:v>
      </x:c>
      <x:c r="C21" s="54" t="n">
        <x:f>IF(B21&lt;=MIN($M$7:$M$23),INDEX($L$7:$L$23,1),IF(B21&gt;=MAX($M$7:$M$23),INDEX($L$7:$L$23,ROWS($L$7:$L$23)),INDEX($L$7:$L$23,MATCH(B21,$M$7:$M$23,1))+(B21-INDEX($M$7:$M$23,MATCH(B21,$M$7:$M$23,1)))*(INDEX($L$7:$L$23,MATCH(B21,$M$7:$M$23,1)+1)-INDEX($L$7:$L$23,MATCH(B21,$M$7:$M$23,1)))/(INDEX($M$7:$M$23,MATCH(B21,$M$7:$M$23,1)+1)-INDEX($M$7:$M$23,MATCH(B21,$M$7:$M$23,1)))))</x:f>
        <x:v>148.67977207977208</x:v>
      </x:c>
      <x:c r="D21" s="55" t="n">
        <x:f>ROUND(C21,0)</x:f>
        <x:v>149</x:v>
      </x:c>
      <x:c r="E21" s="56" t="n">
        <x:f>D21</x:f>
        <x:v>149</x:v>
      </x:c>
      <x:c r="F21" s="56" t="n">
        <x:f>0</x:f>
        <x:v>0</x:v>
      </x:c>
      <x:c r="G21" s="56" t="n">
        <x:f>0</x:f>
        <x:v>0</x:v>
      </x:c>
      <x:c r="H21" s="53" t="n">
        <x:f>IF(D21&lt;=MIN($L$7:$L$23),INDEX($M$7:$M$23,1),IF(D21&gt;=MAX($L$7:$L$23),INDEX($M$7:$M$23,ROWS($L$7:$L$23)),INDEX($M$7:$M$23,MATCH(D21,$L$7:$L$23,1))+(D21-INDEX($L$7:$L$23,MATCH(D21,$L$7:$L$23,1)))*(INDEX($M$7:$M$23,MATCH(D21,$L$7:$L$23,1)+1)-INDEX($M$7:$M$23,MATCH(D21,$L$7:$L$23,1)))/(INDEX($L$7:$L$23,MATCH(D21,$L$7:$L$23,1)+1)-INDEX($L$7:$L$23,MATCH(D21,$L$7:$L$23,1)))))</x:f>
        <x:v>16.508541666666666</x:v>
      </x:c>
      <x:c r="I21" s="53" t="n">
        <x:f>H21-B21</x:f>
        <x:v>0.058541666666666714</x:v>
      </x:c>
      <x:c r="J21" s="57" t="n">
        <x:f>IF(B21=0,0,ABS(I21)/B21)</x:f>
        <x:v>0.00355876393110436</x:v>
      </x:c>
      <x:c r="K21" s="1"/>
      <x:c r="L21" s="44" t="n">
        <x:v>223</x:v>
      </x:c>
      <x:c r="M21" s="45" t="n">
        <x:v>35.32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2" t="n">
        <x:v>15</x:v>
      </x:c>
      <x:c r="B22" s="53" t="n">
        <x:f>$B$3*A22/$E$3</x:f>
        <x:v>17.625</x:v>
      </x:c>
      <x:c r="C22" s="54" t="n">
        <x:f>IF(B22&lt;=MIN($M$7:$M$23),INDEX($L$7:$L$23,1),IF(B22&gt;=MAX($M$7:$M$23),INDEX($L$7:$L$23,ROWS($L$7:$L$23)),INDEX($L$7:$L$23,MATCH(B22,$M$7:$M$23,1))+(B22-INDEX($M$7:$M$23,MATCH(B22,$M$7:$M$23,1)))*(INDEX($L$7:$L$23,MATCH(B22,$M$7:$M$23,1)+1)-INDEX($L$7:$L$23,MATCH(B22,$M$7:$M$23,1)))/(INDEX($M$7:$M$23,MATCH(B22,$M$7:$M$23,1)+1)-INDEX($M$7:$M$23,MATCH(B22,$M$7:$M$23,1)))))</x:f>
        <x:v>155.1071225071225</x:v>
      </x:c>
      <x:c r="D22" s="55" t="n">
        <x:f>ROUND(C22,0)</x:f>
        <x:v>155</x:v>
      </x:c>
      <x:c r="E22" s="56" t="n">
        <x:f>D22</x:f>
        <x:v>155</x:v>
      </x:c>
      <x:c r="F22" s="56" t="n">
        <x:f>0</x:f>
        <x:v>0</x:v>
      </x:c>
      <x:c r="G22" s="56" t="n">
        <x:f>0</x:f>
        <x:v>0</x:v>
      </x:c>
      <x:c r="H22" s="53" t="n">
        <x:f>IF(D22&lt;=MIN($L$7:$L$23),INDEX($M$7:$M$23,1),IF(D22&gt;=MAX($L$7:$L$23),INDEX($M$7:$M$23,ROWS($L$7:$L$23)),INDEX($M$7:$M$23,MATCH(D22,$L$7:$L$23,1))+(D22-INDEX($L$7:$L$23,MATCH(D22,$L$7:$L$23,1)))*(INDEX($M$7:$M$23,MATCH(D22,$L$7:$L$23,1)+1)-INDEX($M$7:$M$23,MATCH(D22,$L$7:$L$23,1)))/(INDEX($L$7:$L$23,MATCH(D22,$L$7:$L$23,1)+1)-INDEX($L$7:$L$23,MATCH(D22,$L$7:$L$23,1)))))</x:f>
        <x:v>17.605416666666667</x:v>
      </x:c>
      <x:c r="I22" s="53" t="n">
        <x:f>H22-B22</x:f>
        <x:v>-0.019583333333333286</x:v>
      </x:c>
      <x:c r="J22" s="57" t="n">
        <x:f>IF(B22=0,0,ABS(I22)/B22)</x:f>
        <x:v>0.0011111111111111085</x:v>
      </x:c>
      <x:c r="K22" s="1"/>
      <x:c r="L22" s="44" t="n">
        <x:v>239</x:v>
      </x:c>
      <x:c r="M22" s="45" t="n">
        <x:v>38.145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2" t="n">
        <x:v>16</x:v>
      </x:c>
      <x:c r="B23" s="53" t="n">
        <x:f>$B$3*A23/$E$3</x:f>
        <x:v>18.8</x:v>
      </x:c>
      <x:c r="C23" s="54" t="n">
        <x:f>IF(B23&lt;=MIN($M$7:$M$23),INDEX($L$7:$L$23,1),IF(B23&gt;=MAX($M$7:$M$23),INDEX($L$7:$L$23,ROWS($L$7:$L$23)),INDEX($L$7:$L$23,MATCH(B23,$M$7:$M$23,1))+(B23-INDEX($M$7:$M$23,MATCH(B23,$M$7:$M$23,1)))*(INDEX($L$7:$L$23,MATCH(B23,$M$7:$M$23,1)+1)-INDEX($L$7:$L$23,MATCH(B23,$M$7:$M$23,1)))/(INDEX($M$7:$M$23,MATCH(B23,$M$7:$M$23,1)+1)-INDEX($M$7:$M$23,MATCH(B23,$M$7:$M$23,1)))))</x:f>
        <x:v>160.76158415841584</x:v>
      </x:c>
      <x:c r="D23" s="55" t="n">
        <x:f>ROUND(C23,0)</x:f>
        <x:v>161</x:v>
      </x:c>
      <x:c r="E23" s="56" t="n">
        <x:f>D23</x:f>
        <x:v>161</x:v>
      </x:c>
      <x:c r="F23" s="56" t="n">
        <x:f>0</x:f>
        <x:v>0</x:v>
      </x:c>
      <x:c r="G23" s="56" t="n">
        <x:f>0</x:f>
        <x:v>0</x:v>
      </x:c>
      <x:c r="H23" s="53" t="n">
        <x:f>IF(D23&lt;=MIN($L$7:$L$23),INDEX($M$7:$M$23,1),IF(D23&gt;=MAX($L$7:$L$23),INDEX($M$7:$M$23,ROWS($L$7:$L$23)),INDEX($M$7:$M$23,MATCH(D23,$L$7:$L$23,1))+(D23-INDEX($L$7:$L$23,MATCH(D23,$L$7:$L$23,1)))*(INDEX($M$7:$M$23,MATCH(D23,$L$7:$L$23,1)+1)-INDEX($M$7:$M$23,MATCH(D23,$L$7:$L$23,1)))/(INDEX($L$7:$L$23,MATCH(D23,$L$7:$L$23,1)+1)-INDEX($L$7:$L$23,MATCH(D23,$L$7:$L$23,1)))))</x:f>
        <x:v>18.862708333333334</x:v>
      </x:c>
      <x:c r="I23" s="53" t="n">
        <x:f>H23-B23</x:f>
        <x:v>0.06270833333333314</x:v>
      </x:c>
      <x:c r="J23" s="57" t="n">
        <x:f>IF(B23=0,0,ABS(I23)/B23)</x:f>
        <x:v>0.0033355496453900606</x:v>
      </x:c>
      <x:c r="K23" s="1"/>
      <x:c r="L23" s="44" t="n">
        <x:v>255</x:v>
      </x:c>
      <x:c r="M23" s="45" t="n">
        <x:v>42.25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2" t="n">
        <x:v>17</x:v>
      </x:c>
      <x:c r="B24" s="53" t="n">
        <x:f>$B$3*A24/$E$3</x:f>
        <x:v>19.975</x:v>
      </x:c>
      <x:c r="C24" s="54" t="n">
        <x:f>IF(B24&lt;=MIN($M$7:$M$23),INDEX($L$7:$L$23,1),IF(B24&gt;=MAX($M$7:$M$23),INDEX($L$7:$L$23,ROWS($L$7:$L$23)),INDEX($L$7:$L$23,MATCH(B24,$M$7:$M$23,1))+(B24-INDEX($M$7:$M$23,MATCH(B24,$M$7:$M$23,1)))*(INDEX($L$7:$L$23,MATCH(B24,$M$7:$M$23,1)+1)-INDEX($L$7:$L$23,MATCH(B24,$M$7:$M$23,1)))/(INDEX($M$7:$M$23,MATCH(B24,$M$7:$M$23,1)+1)-INDEX($M$7:$M$23,MATCH(B24,$M$7:$M$23,1)))))</x:f>
        <x:v>165.22891089108913</x:v>
      </x:c>
      <x:c r="D24" s="55" t="n">
        <x:f>ROUND(C24,0)</x:f>
        <x:v>165</x:v>
      </x:c>
      <x:c r="E24" s="56" t="n">
        <x:f>D24</x:f>
        <x:v>165</x:v>
      </x:c>
      <x:c r="F24" s="56" t="n">
        <x:f>0</x:f>
        <x:v>0</x:v>
      </x:c>
      <x:c r="G24" s="56" t="n">
        <x:f>0</x:f>
        <x:v>0</x:v>
      </x:c>
      <x:c r="H24" s="53" t="n">
        <x:f>IF(D24&lt;=MIN($L$7:$L$23),INDEX($M$7:$M$23,1),IF(D24&gt;=MAX($L$7:$L$23),INDEX($M$7:$M$23,ROWS($L$7:$L$23)),INDEX($M$7:$M$23,MATCH(D24,$L$7:$L$23,1))+(D24-INDEX($L$7:$L$23,MATCH(D24,$L$7:$L$23,1)))*(INDEX($M$7:$M$23,MATCH(D24,$L$7:$L$23,1)+1)-INDEX($M$7:$M$23,MATCH(D24,$L$7:$L$23,1)))/(INDEX($L$7:$L$23,MATCH(D24,$L$7:$L$23,1)+1)-INDEX($L$7:$L$23,MATCH(D24,$L$7:$L$23,1)))))</x:f>
        <x:v>19.914791666666666</x:v>
      </x:c>
      <x:c r="I24" s="53" t="n">
        <x:f>H24-B24</x:f>
        <x:v>-0.06020833333333542</x:v>
      </x:c>
      <x:c r="J24" s="57" t="n">
        <x:f>IF(B24=0,0,ABS(I24)/B24)</x:f>
        <x:v>0.0030141843971632247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2" t="n">
        <x:v>18</x:v>
      </x:c>
      <x:c r="B25" s="53" t="n">
        <x:f>$B$3*A25/$E$3</x:f>
        <x:v>21.15</x:v>
      </x:c>
      <x:c r="C25" s="54" t="n">
        <x:f>IF(B25&lt;=MIN($M$7:$M$23),INDEX($L$7:$L$23,1),IF(B25&gt;=MAX($M$7:$M$23),INDEX($L$7:$L$23,ROWS($L$7:$L$23)),INDEX($L$7:$L$23,MATCH(B25,$M$7:$M$23,1))+(B25-INDEX($M$7:$M$23,MATCH(B25,$M$7:$M$23,1)))*(INDEX($L$7:$L$23,MATCH(B25,$M$7:$M$23,1)+1)-INDEX($L$7:$L$23,MATCH(B25,$M$7:$M$23,1)))/(INDEX($M$7:$M$23,MATCH(B25,$M$7:$M$23,1)+1)-INDEX($M$7:$M$23,MATCH(B25,$M$7:$M$23,1)))))</x:f>
        <x:v>169.69623762376239</x:v>
      </x:c>
      <x:c r="D25" s="55" t="n">
        <x:f>ROUND(C25,0)</x:f>
        <x:v>170</x:v>
      </x:c>
      <x:c r="E25" s="56" t="n">
        <x:f>D25</x:f>
        <x:v>170</x:v>
      </x:c>
      <x:c r="F25" s="56" t="n">
        <x:f>0</x:f>
        <x:v>0</x:v>
      </x:c>
      <x:c r="G25" s="56" t="n">
        <x:f>0</x:f>
        <x:v>0</x:v>
      </x:c>
      <x:c r="H25" s="53" t="n">
        <x:f>IF(D25&lt;=MIN($L$7:$L$23),INDEX($M$7:$M$23,1),IF(D25&gt;=MAX($L$7:$L$23),INDEX($M$7:$M$23,ROWS($L$7:$L$23)),INDEX($M$7:$M$23,MATCH(D25,$L$7:$L$23,1))+(D25-INDEX($L$7:$L$23,MATCH(D25,$L$7:$L$23,1)))*(INDEX($M$7:$M$23,MATCH(D25,$L$7:$L$23,1)+1)-INDEX($M$7:$M$23,MATCH(D25,$L$7:$L$23,1)))/(INDEX($L$7:$L$23,MATCH(D25,$L$7:$L$23,1)+1)-INDEX($L$7:$L$23,MATCH(D25,$L$7:$L$23,1)))))</x:f>
        <x:v>21.22989583333333</x:v>
      </x:c>
      <x:c r="I25" s="53" t="n">
        <x:f>H25-B25</x:f>
        <x:v>0.07989583333333172</x:v>
      </x:c>
      <x:c r="J25" s="57" t="n">
        <x:f>IF(B25=0,0,ABS(I25)/B25)</x:f>
        <x:v>0.0037775807722615472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52" t="n">
        <x:v>19</x:v>
      </x:c>
      <x:c r="B26" s="53" t="n">
        <x:f>$B$3*A26/$E$3</x:f>
        <x:v>22.325</x:v>
      </x:c>
      <x:c r="C26" s="54" t="n">
        <x:f>IF(B26&lt;=MIN($M$7:$M$23),INDEX($L$7:$L$23,1),IF(B26&gt;=MAX($M$7:$M$23),INDEX($L$7:$L$23,ROWS($L$7:$L$23)),INDEX($L$7:$L$23,MATCH(B26,$M$7:$M$23,1))+(B26-INDEX($M$7:$M$23,MATCH(B26,$M$7:$M$23,1)))*(INDEX($L$7:$L$23,MATCH(B26,$M$7:$M$23,1)+1)-INDEX($L$7:$L$23,MATCH(B26,$M$7:$M$23,1)))/(INDEX($M$7:$M$23,MATCH(B26,$M$7:$M$23,1)+1)-INDEX($M$7:$M$23,MATCH(B26,$M$7:$M$23,1)))))</x:f>
        <x:v>174.16356435643564</x:v>
      </x:c>
      <x:c r="D26" s="55" t="n">
        <x:f>ROUND(C26,0)</x:f>
        <x:v>174</x:v>
      </x:c>
      <x:c r="E26" s="56" t="n">
        <x:f>D26</x:f>
        <x:v>174</x:v>
      </x:c>
      <x:c r="F26" s="56" t="n">
        <x:f>0</x:f>
        <x:v>0</x:v>
      </x:c>
      <x:c r="G26" s="56" t="n">
        <x:f>0</x:f>
        <x:v>0</x:v>
      </x:c>
      <x:c r="H26" s="53" t="n">
        <x:f>IF(D26&lt;=MIN($L$7:$L$23),INDEX($M$7:$M$23,1),IF(D26&gt;=MAX($L$7:$L$23),INDEX($M$7:$M$23,ROWS($L$7:$L$23)),INDEX($M$7:$M$23,MATCH(D26,$L$7:$L$23,1))+(D26-INDEX($L$7:$L$23,MATCH(D26,$L$7:$L$23,1)))*(INDEX($M$7:$M$23,MATCH(D26,$L$7:$L$23,1)+1)-INDEX($M$7:$M$23,MATCH(D26,$L$7:$L$23,1)))/(INDEX($L$7:$L$23,MATCH(D26,$L$7:$L$23,1)+1)-INDEX($L$7:$L$23,MATCH(D26,$L$7:$L$23,1)))))</x:f>
        <x:v>22.281979166666666</x:v>
      </x:c>
      <x:c r="I26" s="53" t="n">
        <x:f>H26-B26</x:f>
        <x:v>-0.043020833333333286</x:v>
      </x:c>
      <x:c r="J26" s="57" t="n">
        <x:f>IF(B26=0,0,ABS(I26)/B26)</x:f>
        <x:v>0.0019270250093318382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2" t="n">
        <x:v>20</x:v>
      </x:c>
      <x:c r="B27" s="53" t="n">
        <x:f>$B$3*A27/$E$3</x:f>
        <x:v>23.5</x:v>
      </x:c>
      <x:c r="C27" s="54" t="n">
        <x:f>IF(B27&lt;=MIN($M$7:$M$23),INDEX($L$7:$L$23,1),IF(B27&gt;=MAX($M$7:$M$23),INDEX($L$7:$L$23,ROWS($L$7:$L$23)),INDEX($L$7:$L$23,MATCH(B27,$M$7:$M$23,1))+(B27-INDEX($M$7:$M$23,MATCH(B27,$M$7:$M$23,1)))*(INDEX($L$7:$L$23,MATCH(B27,$M$7:$M$23,1)+1)-INDEX($L$7:$L$23,MATCH(B27,$M$7:$M$23,1)))/(INDEX($M$7:$M$23,MATCH(B27,$M$7:$M$23,1)+1)-INDEX($M$7:$M$23,MATCH(B27,$M$7:$M$23,1)))))</x:f>
        <x:v>178.11836734693878</x:v>
      </x:c>
      <x:c r="D27" s="55" t="n">
        <x:f>ROUND(C27,0)</x:f>
        <x:v>178</x:v>
      </x:c>
      <x:c r="E27" s="56" t="n">
        <x:f>D27</x:f>
        <x:v>178</x:v>
      </x:c>
      <x:c r="F27" s="56" t="n">
        <x:f>0</x:f>
        <x:v>0</x:v>
      </x:c>
      <x:c r="G27" s="56" t="n">
        <x:f>0</x:f>
        <x:v>0</x:v>
      </x:c>
      <x:c r="H27" s="53" t="n">
        <x:f>IF(D27&lt;=MIN($L$7:$L$23),INDEX($M$7:$M$23,1),IF(D27&gt;=MAX($L$7:$L$23),INDEX($M$7:$M$23,ROWS($L$7:$L$23)),INDEX($M$7:$M$23,MATCH(D27,$L$7:$L$23,1))+(D27-INDEX($L$7:$L$23,MATCH(D27,$L$7:$L$23,1)))*(INDEX($M$7:$M$23,MATCH(D27,$L$7:$L$23,1)+1)-INDEX($M$7:$M$23,MATCH(D27,$L$7:$L$23,1)))/(INDEX($L$7:$L$23,MATCH(D27,$L$7:$L$23,1)+1)-INDEX($L$7:$L$23,MATCH(D27,$L$7:$L$23,1)))))</x:f>
        <x:v>23.463749999999997</x:v>
      </x:c>
      <x:c r="I27" s="53" t="n">
        <x:f>H27-B27</x:f>
        <x:v>-0.03625000000000256</x:v>
      </x:c>
      <x:c r="J27" s="57" t="n">
        <x:f>IF(B27=0,0,ABS(I27)/B27)</x:f>
        <x:v>0.0015425531914894707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</x:sheetData>
  <x:mergeCells>
    <x:mergeCell ref="A1:J1"/>
    <x:mergeCell ref="A2:J2"/>
    <x:mergeCell ref="A4:J4"/>
  </x:mergeCells>
  <x:conditionalFormatting sqref="J7:J27">
    <x:cfRule type="colorScale" priority="1">
      <x:colorScale>
        <x:cfvo type="min"/>
        <x:cfvo type="percentile" val="50"/>
        <x:cfvo type="max"/>
        <x:color rgb="FFE8F5E9"/>
        <x:color rgb="FFFFF4CC"/>
        <x:color rgb="FFFADBD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3" hidden="0" customWidth="1"/>
    <x:col min="5" max="5" width="8" hidden="0" customWidth="1"/>
    <x:col min="6" max="6" width="8" hidden="0" customWidth="1"/>
    <x:col min="7" max="7" width="8" hidden="0" customWidth="1"/>
    <x:col min="8" max="8" width="13" hidden="0" customWidth="1"/>
    <x:col min="9" max="9" width="13" hidden="0" customWidth="1"/>
    <x:col min="10" max="10" width="11" hidden="0" customWidth="1"/>
    <x:col min="11" max="11" width="3" hidden="0" customWidth="1"/>
    <x:col min="12" max="12" width="15" hidden="0" customWidth="1"/>
    <x:col min="13" max="13" width="15" hidden="0" customWidth="1"/>
  </x:cols>
  <x:sheetData>
    <x:row r="1" ht="28" customHeight="1">
      <x:c r="A1" s="60" t="str">
        <x:v>Green：0–20 等亮度刺激标定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64" t="str">
        <x:v>方法：先把 0–20 线性映射到共同目标亮度，再对该通道的实测“屏幕值→亮度”曲线做分段线性反插值；推荐屏幕值取最近整数。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6" customHeight="1">
      <x:c r="A3" s="11" t="str">
        <x:v>共同最大目标亮度 (cd/m²)</x:v>
      </x:c>
      <x:c r="B3" s="14" t="n">
        <x:f>MIN('R'!$M$23,'G'!$M$23,'B'!$M$23,'Gray'!$M$23)</x:f>
        <x:v>23.5</x:v>
      </x:c>
      <x:c r="C3" s="11"/>
      <x:c r="D3" s="11" t="str">
        <x:v>最大强度等级</x:v>
      </x:c>
      <x:c r="E3" s="15" t="n">
        <x:v>20</x:v>
      </x:c>
      <x:c r="F3" s="11"/>
      <x:c r="G3" s="11" t="str">
        <x:v>限制通道</x:v>
      </x:c>
      <x:c r="H3" s="13" t="str">
        <x:v>B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19" t="str">
        <x:v>注意：自动测量没有 RGB=0 的数据；等级 0 定义为屏幕值 (0,0,0)，曲线中补入 (输入0, 亮度0)。等级 1–20 的目标亮度均落在实测范围内。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2" t="str">
        <x:v>强度等级</x:v>
      </x:c>
      <x:c r="B6" s="32" t="str">
        <x:v>目标亮度
(cd/m²)</x:v>
      </x:c>
      <x:c r="C6" s="32" t="str">
        <x:v>反插值通道值
(连续)</x:v>
      </x:c>
      <x:c r="D6" s="32" t="str">
        <x:v>推荐通道值
(整数)</x:v>
      </x:c>
      <x:c r="E6" s="32" t="str">
        <x:v>R</x:v>
      </x:c>
      <x:c r="F6" s="32" t="str">
        <x:v>G</x:v>
      </x:c>
      <x:c r="G6" s="32" t="str">
        <x:v>B</x:v>
      </x:c>
      <x:c r="H6" s="32" t="str">
        <x:v>预计亮度
(cd/m²)</x:v>
      </x:c>
      <x:c r="I6" s="32" t="str">
        <x:v>亮度误差
(cd/m²)</x:v>
      </x:c>
      <x:c r="J6" s="32" t="str">
        <x:v>相对误差</x:v>
      </x:c>
      <x:c r="K6" s="1"/>
      <x:c r="L6" s="36" t="str">
        <x:v>实测输入值</x:v>
      </x:c>
      <x:c r="M6" s="36" t="str">
        <x:v>最终平均亮度
(cd/m²)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2" t="n">
        <x:v>0</x:v>
      </x:c>
      <x:c r="B7" s="53" t="n">
        <x:f>$B$3*A7/$E$3</x:f>
        <x:v>0</x:v>
      </x:c>
      <x:c r="C7" s="54" t="n">
        <x:f>IF(B7&lt;=MIN($M$7:$M$23),INDEX($L$7:$L$23,1),IF(B7&gt;=MAX($M$7:$M$23),INDEX($L$7:$L$23,ROWS($L$7:$L$23)),INDEX($L$7:$L$23,MATCH(B7,$M$7:$M$23,1))+(B7-INDEX($M$7:$M$23,MATCH(B7,$M$7:$M$23,1)))*(INDEX($L$7:$L$23,MATCH(B7,$M$7:$M$23,1)+1)-INDEX($L$7:$L$23,MATCH(B7,$M$7:$M$23,1)))/(INDEX($M$7:$M$23,MATCH(B7,$M$7:$M$23,1)+1)-INDEX($M$7:$M$23,MATCH(B7,$M$7:$M$23,1)))))</x:f>
        <x:v>0</x:v>
      </x:c>
      <x:c r="D7" s="55" t="n">
        <x:f>ROUND(C7,0)</x:f>
        <x:v>0</x:v>
      </x:c>
      <x:c r="E7" s="68" t="n">
        <x:f>0</x:f>
        <x:v>0</x:v>
      </x:c>
      <x:c r="F7" s="68" t="n">
        <x:f>D7</x:f>
        <x:v>0</x:v>
      </x:c>
      <x:c r="G7" s="68" t="n">
        <x:f>0</x:f>
        <x:v>0</x:v>
      </x:c>
      <x:c r="H7" s="53" t="n">
        <x:f>IF(D7&lt;=MIN($L$7:$L$23),INDEX($M$7:$M$23,1),IF(D7&gt;=MAX($L$7:$L$23),INDEX($M$7:$M$23,ROWS($L$7:$L$23)),INDEX($M$7:$M$23,MATCH(D7,$L$7:$L$23,1))+(D7-INDEX($L$7:$L$23,MATCH(D7,$L$7:$L$23,1)))*(INDEX($M$7:$M$23,MATCH(D7,$L$7:$L$23,1)+1)-INDEX($M$7:$M$23,MATCH(D7,$L$7:$L$23,1)))/(INDEX($L$7:$L$23,MATCH(D7,$L$7:$L$23,1)+1)-INDEX($L$7:$L$23,MATCH(D7,$L$7:$L$23,1)))))</x:f>
        <x:v>0</x:v>
      </x:c>
      <x:c r="I7" s="53" t="n">
        <x:f>H7-B7</x:f>
        <x:v>0</x:v>
      </x:c>
      <x:c r="J7" s="57" t="n">
        <x:f>IF(B7=0,0,ABS(I7)/B7)</x:f>
        <x:v>0</x:v>
      </x:c>
      <x:c r="K7" s="1"/>
      <x:c r="L7" s="44" t="n">
        <x:v>0</x:v>
      </x:c>
      <x:c r="M7" s="45" t="n">
        <x:v>0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2" t="n">
        <x:v>1</x:v>
      </x:c>
      <x:c r="B8" s="53" t="n">
        <x:f>$B$3*A8/$E$3</x:f>
        <x:v>1.175</x:v>
      </x:c>
      <x:c r="C8" s="54" t="n">
        <x:f>IF(B8&lt;=MIN($M$7:$M$23),INDEX($L$7:$L$23,1),IF(B8&gt;=MAX($M$7:$M$23),INDEX($L$7:$L$23,ROWS($L$7:$L$23)),INDEX($L$7:$L$23,MATCH(B8,$M$7:$M$23,1))+(B8-INDEX($M$7:$M$23,MATCH(B8,$M$7:$M$23,1)))*(INDEX($L$7:$L$23,MATCH(B8,$M$7:$M$23,1)+1)-INDEX($L$7:$L$23,MATCH(B8,$M$7:$M$23,1)))/(INDEX($M$7:$M$23,MATCH(B8,$M$7:$M$23,1)+1)-INDEX($M$7:$M$23,MATCH(B8,$M$7:$M$23,1)))))</x:f>
        <x:v>19.703361501567592</x:v>
      </x:c>
      <x:c r="D8" s="55" t="n">
        <x:f>ROUND(C8,0)</x:f>
        <x:v>20</x:v>
      </x:c>
      <x:c r="E8" s="68" t="n">
        <x:f>0</x:f>
        <x:v>0</x:v>
      </x:c>
      <x:c r="F8" s="68" t="n">
        <x:f>D8</x:f>
        <x:v>20</x:v>
      </x:c>
      <x:c r="G8" s="68" t="n">
        <x:f>0</x:f>
        <x:v>0</x:v>
      </x:c>
      <x:c r="H8" s="53" t="n">
        <x:f>IF(D8&lt;=MIN($L$7:$L$23),INDEX($M$7:$M$23,1),IF(D8&gt;=MAX($L$7:$L$23),INDEX($M$7:$M$23,ROWS($L$7:$L$23)),INDEX($M$7:$M$23,MATCH(D8,$L$7:$L$23,1))+(D8-INDEX($L$7:$L$23,MATCH(D8,$L$7:$L$23,1)))*(INDEX($M$7:$M$23,MATCH(D8,$L$7:$L$23,1)+1)-INDEX($M$7:$M$23,MATCH(D8,$L$7:$L$23,1)))/(INDEX($L$7:$L$23,MATCH(D8,$L$7:$L$23,1)+1)-INDEX($L$7:$L$23,MATCH(D8,$L$7:$L$23,1)))))</x:f>
        <x:v>1.2047645833333334</x:v>
      </x:c>
      <x:c r="I8" s="53" t="n">
        <x:f>H8-B8</x:f>
        <x:v>0.029764583333333317</x:v>
      </x:c>
      <x:c r="J8" s="57" t="n">
        <x:f>IF(B8=0,0,ABS(I8)/B8)</x:f>
        <x:v>0.025331560283687927</x:v>
      </x:c>
      <x:c r="K8" s="1"/>
      <x:c r="L8" s="44" t="n">
        <x:v>15</x:v>
      </x:c>
      <x:c r="M8" s="45" t="n">
        <x:v>0.7030666666666667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2" t="n">
        <x:v>2</x:v>
      </x:c>
      <x:c r="B9" s="53" t="n">
        <x:f>$B$3*A9/$E$3</x:f>
        <x:v>2.35</x:v>
      </x:c>
      <x:c r="C9" s="54" t="n">
        <x:f>IF(B9&lt;=MIN($M$7:$M$23),INDEX($L$7:$L$23,1),IF(B9&gt;=MAX($M$7:$M$23),INDEX($L$7:$L$23,ROWS($L$7:$L$23)),INDEX($L$7:$L$23,MATCH(B9,$M$7:$M$23,1))+(B9-INDEX($M$7:$M$23,MATCH(B9,$M$7:$M$23,1)))*(INDEX($L$7:$L$23,MATCH(B9,$M$7:$M$23,1)+1)-INDEX($L$7:$L$23,MATCH(B9,$M$7:$M$23,1)))/(INDEX($M$7:$M$23,MATCH(B9,$M$7:$M$23,1)+1)-INDEX($M$7:$M$23,MATCH(B9,$M$7:$M$23,1)))))</x:f>
        <x:v>31.219806896551724</x:v>
      </x:c>
      <x:c r="D9" s="55" t="n">
        <x:f>ROUND(C9,0)</x:f>
        <x:v>31</x:v>
      </x:c>
      <x:c r="E9" s="68" t="n">
        <x:f>0</x:f>
        <x:v>0</x:v>
      </x:c>
      <x:c r="F9" s="68" t="n">
        <x:f>D9</x:f>
        <x:v>31</x:v>
      </x:c>
      <x:c r="G9" s="68" t="n">
        <x:f>0</x:f>
        <x:v>0</x:v>
      </x:c>
      <x:c r="H9" s="53" t="n">
        <x:f>IF(D9&lt;=MIN($L$7:$L$23),INDEX($M$7:$M$23,1),IF(D9&gt;=MAX($L$7:$L$23),INDEX($M$7:$M$23,ROWS($L$7:$L$23)),INDEX($M$7:$M$23,MATCH(D9,$L$7:$L$23,1))+(D9-INDEX($L$7:$L$23,MATCH(D9,$L$7:$L$23,1)))*(INDEX($M$7:$M$23,MATCH(D9,$L$7:$L$23,1)+1)-INDEX($M$7:$M$23,MATCH(D9,$L$7:$L$23,1)))/(INDEX($L$7:$L$23,MATCH(D9,$L$7:$L$23,1)+1)-INDEX($L$7:$L$23,MATCH(D9,$L$7:$L$23,1)))))</x:f>
        <x:v>2.3085</x:v>
      </x:c>
      <x:c r="I9" s="53" t="n">
        <x:f>H9-B9</x:f>
        <x:v>-0.04150000000000009</x:v>
      </x:c>
      <x:c r="J9" s="57" t="n">
        <x:f>IF(B9=0,0,ABS(I9)/B9)</x:f>
        <x:v>0.017659574468085144</x:v>
      </x:c>
      <x:c r="K9" s="1"/>
      <x:c r="L9" s="44" t="n">
        <x:v>31</x:v>
      </x:c>
      <x:c r="M9" s="45" t="n">
        <x:v>2.3085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2" t="n">
        <x:v>3</x:v>
      </x:c>
      <x:c r="B10" s="53" t="n">
        <x:f>$B$3*A10/$E$3</x:f>
        <x:v>3.525</x:v>
      </x:c>
      <x:c r="C10" s="54" t="n">
        <x:f>IF(B10&lt;=MIN($M$7:$M$23),INDEX($L$7:$L$23,1),IF(B10&gt;=MAX($M$7:$M$23),INDEX($L$7:$L$23,ROWS($L$7:$L$23)),INDEX($L$7:$L$23,MATCH(B10,$M$7:$M$23,1))+(B10-INDEX($M$7:$M$23,MATCH(B10,$M$7:$M$23,1)))*(INDEX($L$7:$L$23,MATCH(B10,$M$7:$M$23,1)+1)-INDEX($L$7:$L$23,MATCH(B10,$M$7:$M$23,1)))/(INDEX($M$7:$M$23,MATCH(B10,$M$7:$M$23,1)+1)-INDEX($M$7:$M$23,MATCH(B10,$M$7:$M$23,1)))))</x:f>
        <x:v>37.44325517241379</x:v>
      </x:c>
      <x:c r="D10" s="55" t="n">
        <x:f>ROUND(C10,0)</x:f>
        <x:v>37</x:v>
      </x:c>
      <x:c r="E10" s="68" t="n">
        <x:f>0</x:f>
        <x:v>0</x:v>
      </x:c>
      <x:c r="F10" s="68" t="n">
        <x:f>D10</x:f>
        <x:v>37</x:v>
      </x:c>
      <x:c r="G10" s="68" t="n">
        <x:f>0</x:f>
        <x:v>0</x:v>
      </x:c>
      <x:c r="H10" s="53" t="n">
        <x:f>IF(D10&lt;=MIN($L$7:$L$23),INDEX($M$7:$M$23,1),IF(D10&gt;=MAX($L$7:$L$23),INDEX($M$7:$M$23,ROWS($L$7:$L$23)),INDEX($M$7:$M$23,MATCH(D10,$L$7:$L$23,1))+(D10-INDEX($L$7:$L$23,MATCH(D10,$L$7:$L$23,1)))*(INDEX($M$7:$M$23,MATCH(D10,$L$7:$L$23,1)+1)-INDEX($M$7:$M$23,MATCH(D10,$L$7:$L$23,1)))/(INDEX($L$7:$L$23,MATCH(D10,$L$7:$L$23,1)+1)-INDEX($L$7:$L$23,MATCH(D10,$L$7:$L$23,1)))))</x:f>
        <x:v>3.4413124999999996</x:v>
      </x:c>
      <x:c r="I10" s="53" t="n">
        <x:f>H10-B10</x:f>
        <x:v>-0.08368750000000036</x:v>
      </x:c>
      <x:c r="J10" s="57" t="n">
        <x:f>IF(B10=0,0,ABS(I10)/B10)</x:f>
        <x:v>0.02374113475177315</x:v>
      </x:c>
      <x:c r="K10" s="1"/>
      <x:c r="L10" s="44" t="n">
        <x:v>47</x:v>
      </x:c>
      <x:c r="M10" s="45" t="n">
        <x:v>5.329333333333333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2" t="n">
        <x:v>4</x:v>
      </x:c>
      <x:c r="B11" s="53" t="n">
        <x:f>$B$3*A11/$E$3</x:f>
        <x:v>4.7</x:v>
      </x:c>
      <x:c r="C11" s="54" t="n">
        <x:f>IF(B11&lt;=MIN($M$7:$M$23),INDEX($L$7:$L$23,1),IF(B11&gt;=MAX($M$7:$M$23),INDEX($L$7:$L$23,ROWS($L$7:$L$23)),INDEX($L$7:$L$23,MATCH(B11,$M$7:$M$23,1))+(B11-INDEX($M$7:$M$23,MATCH(B11,$M$7:$M$23,1)))*(INDEX($L$7:$L$23,MATCH(B11,$M$7:$M$23,1)+1)-INDEX($L$7:$L$23,MATCH(B11,$M$7:$M$23,1)))/(INDEX($M$7:$M$23,MATCH(B11,$M$7:$M$23,1)+1)-INDEX($M$7:$M$23,MATCH(B11,$M$7:$M$23,1)))))</x:f>
        <x:v>43.66670344827587</x:v>
      </x:c>
      <x:c r="D11" s="55" t="n">
        <x:f>ROUND(C11,0)</x:f>
        <x:v>44</x:v>
      </x:c>
      <x:c r="E11" s="68" t="n">
        <x:f>0</x:f>
        <x:v>0</x:v>
      </x:c>
      <x:c r="F11" s="68" t="n">
        <x:f>D11</x:f>
        <x:v>44</x:v>
      </x:c>
      <x:c r="G11" s="68" t="n">
        <x:f>0</x:f>
        <x:v>0</x:v>
      </x:c>
      <x:c r="H11" s="53" t="n">
        <x:f>IF(D11&lt;=MIN($L$7:$L$23),INDEX($M$7:$M$23,1),IF(D11&gt;=MAX($L$7:$L$23),INDEX($M$7:$M$23,ROWS($L$7:$L$23)),INDEX($M$7:$M$23,MATCH(D11,$L$7:$L$23,1))+(D11-INDEX($L$7:$L$23,MATCH(D11,$L$7:$L$23,1)))*(INDEX($M$7:$M$23,MATCH(D11,$L$7:$L$23,1)+1)-INDEX($M$7:$M$23,MATCH(D11,$L$7:$L$23,1)))/(INDEX($L$7:$L$23,MATCH(D11,$L$7:$L$23,1)+1)-INDEX($L$7:$L$23,MATCH(D11,$L$7:$L$23,1)))))</x:f>
        <x:v>4.762927083333333</x:v>
      </x:c>
      <x:c r="I11" s="53" t="n">
        <x:f>H11-B11</x:f>
        <x:v>0.06292708333333241</x:v>
      </x:c>
      <x:c r="J11" s="57" t="n">
        <x:f>IF(B11=0,0,ABS(I11)/B11)</x:f>
        <x:v>0.013388741134751577</x:v>
      </x:c>
      <x:c r="K11" s="1"/>
      <x:c r="L11" s="44" t="n">
        <x:v>63</x:v>
      </x:c>
      <x:c r="M11" s="45" t="n">
        <x:v>9.017166666666668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2" t="n">
        <x:v>5</x:v>
      </x:c>
      <x:c r="B12" s="53" t="n">
        <x:f>$B$3*A12/$E$3</x:f>
        <x:v>5.875</x:v>
      </x:c>
      <x:c r="C12" s="54" t="n">
        <x:f>IF(B12&lt;=MIN($M$7:$M$23),INDEX($L$7:$L$23,1),IF(B12&gt;=MAX($M$7:$M$23),INDEX($L$7:$L$23,ROWS($L$7:$L$23)),INDEX($L$7:$L$23,MATCH(B12,$M$7:$M$23,1))+(B12-INDEX($M$7:$M$23,MATCH(B12,$M$7:$M$23,1)))*(INDEX($L$7:$L$23,MATCH(B12,$M$7:$M$23,1)+1)-INDEX($L$7:$L$23,MATCH(B12,$M$7:$M$23,1)))/(INDEX($M$7:$M$23,MATCH(B12,$M$7:$M$23,1)+1)-INDEX($M$7:$M$23,MATCH(B12,$M$7:$M$23,1)))))</x:f>
        <x:v>49.36742441361233</x:v>
      </x:c>
      <x:c r="D12" s="55" t="n">
        <x:f>ROUND(C12,0)</x:f>
        <x:v>49</x:v>
      </x:c>
      <x:c r="E12" s="68" t="n">
        <x:f>0</x:f>
        <x:v>0</x:v>
      </x:c>
      <x:c r="F12" s="68" t="n">
        <x:f>D12</x:f>
        <x:v>49</x:v>
      </x:c>
      <x:c r="G12" s="68" t="n">
        <x:f>0</x:f>
        <x:v>0</x:v>
      </x:c>
      <x:c r="H12" s="53" t="n">
        <x:f>IF(D12&lt;=MIN($L$7:$L$23),INDEX($M$7:$M$23,1),IF(D12&gt;=MAX($L$7:$L$23),INDEX($M$7:$M$23,ROWS($L$7:$L$23)),INDEX($M$7:$M$23,MATCH(D12,$L$7:$L$23,1))+(D12-INDEX($L$7:$L$23,MATCH(D12,$L$7:$L$23,1)))*(INDEX($M$7:$M$23,MATCH(D12,$L$7:$L$23,1)+1)-INDEX($M$7:$M$23,MATCH(D12,$L$7:$L$23,1)))/(INDEX($L$7:$L$23,MATCH(D12,$L$7:$L$23,1)+1)-INDEX($L$7:$L$23,MATCH(D12,$L$7:$L$23,1)))))</x:f>
        <x:v>5.7903125</x:v>
      </x:c>
      <x:c r="I12" s="53" t="n">
        <x:f>H12-B12</x:f>
        <x:v>-0.08468750000000025</x:v>
      </x:c>
      <x:c r="J12" s="57" t="n">
        <x:f>IF(B12=0,0,ABS(I12)/B12)</x:f>
        <x:v>0.01441489361702132</x:v>
      </x:c>
      <x:c r="K12" s="1"/>
      <x:c r="L12" s="44" t="n">
        <x:v>79</x:v>
      </x:c>
      <x:c r="M12" s="45" t="n">
        <x:v>15.061666666666667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 t="n">
        <x:v>6</x:v>
      </x:c>
      <x:c r="B13" s="53" t="n">
        <x:f>$B$3*A13/$E$3</x:f>
        <x:v>7.05</x:v>
      </x:c>
      <x:c r="C13" s="54" t="n">
        <x:f>IF(B13&lt;=MIN($M$7:$M$23),INDEX($L$7:$L$23,1),IF(B13&gt;=MAX($M$7:$M$23),INDEX($L$7:$L$23,ROWS($L$7:$L$23)),INDEX($L$7:$L$23,MATCH(B13,$M$7:$M$23,1))+(B13-INDEX($M$7:$M$23,MATCH(B13,$M$7:$M$23,1)))*(INDEX($L$7:$L$23,MATCH(B13,$M$7:$M$23,1)+1)-INDEX($L$7:$L$23,MATCH(B13,$M$7:$M$23,1)))/(INDEX($M$7:$M$23,MATCH(B13,$M$7:$M$23,1)+1)-INDEX($M$7:$M$23,MATCH(B13,$M$7:$M$23,1)))))</x:f>
        <x:v>54.46526867627785</x:v>
      </x:c>
      <x:c r="D13" s="55" t="n">
        <x:f>ROUND(C13,0)</x:f>
        <x:v>54</x:v>
      </x:c>
      <x:c r="E13" s="68" t="n">
        <x:f>0</x:f>
        <x:v>0</x:v>
      </x:c>
      <x:c r="F13" s="68" t="n">
        <x:f>D13</x:f>
        <x:v>54</x:v>
      </x:c>
      <x:c r="G13" s="68" t="n">
        <x:f>0</x:f>
        <x:v>0</x:v>
      </x:c>
      <x:c r="H13" s="53" t="n">
        <x:f>IF(D13&lt;=MIN($L$7:$L$23),INDEX($M$7:$M$23,1),IF(D13&gt;=MAX($L$7:$L$23),INDEX($M$7:$M$23,ROWS($L$7:$L$23)),INDEX($M$7:$M$23,MATCH(D13,$L$7:$L$23,1))+(D13-INDEX($L$7:$L$23,MATCH(D13,$L$7:$L$23,1)))*(INDEX($M$7:$M$23,MATCH(D13,$L$7:$L$23,1)+1)-INDEX($M$7:$M$23,MATCH(D13,$L$7:$L$23,1)))/(INDEX($L$7:$L$23,MATCH(D13,$L$7:$L$23,1)+1)-INDEX($L$7:$L$23,MATCH(D13,$L$7:$L$23,1)))))</x:f>
        <x:v>6.942760416666667</x:v>
      </x:c>
      <x:c r="I13" s="53" t="n">
        <x:f>H13-B13</x:f>
        <x:v>-0.10723958333333261</x:v>
      </x:c>
      <x:c r="J13" s="57" t="n">
        <x:f>IF(B13=0,0,ABS(I13)/B13)</x:f>
        <x:v>0.015211288416075547</x:v>
      </x:c>
      <x:c r="K13" s="1"/>
      <x:c r="L13" s="44" t="n">
        <x:v>95</x:v>
      </x:c>
      <x:c r="M13" s="45" t="n">
        <x:v>21.061666666666667</x:v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2" t="n">
        <x:v>7</x:v>
      </x:c>
      <x:c r="B14" s="53" t="n">
        <x:f>$B$3*A14/$E$3</x:f>
        <x:v>8.225</x:v>
      </x:c>
      <x:c r="C14" s="54" t="n">
        <x:f>IF(B14&lt;=MIN($M$7:$M$23),INDEX($L$7:$L$23,1),IF(B14&gt;=MAX($M$7:$M$23),INDEX($L$7:$L$23,ROWS($L$7:$L$23)),INDEX($L$7:$L$23,MATCH(B14,$M$7:$M$23,1))+(B14-INDEX($M$7:$M$23,MATCH(B14,$M$7:$M$23,1)))*(INDEX($L$7:$L$23,MATCH(B14,$M$7:$M$23,1)+1)-INDEX($L$7:$L$23,MATCH(B14,$M$7:$M$23,1)))/(INDEX($M$7:$M$23,MATCH(B14,$M$7:$M$23,1)+1)-INDEX($M$7:$M$23,MATCH(B14,$M$7:$M$23,1)))))</x:f>
        <x:v>59.56311293894336</x:v>
      </x:c>
      <x:c r="D14" s="55" t="n">
        <x:f>ROUND(C14,0)</x:f>
        <x:v>60</x:v>
      </x:c>
      <x:c r="E14" s="68" t="n">
        <x:f>0</x:f>
        <x:v>0</x:v>
      </x:c>
      <x:c r="F14" s="68" t="n">
        <x:f>D14</x:f>
        <x:v>60</x:v>
      </x:c>
      <x:c r="G14" s="68" t="n">
        <x:f>0</x:f>
        <x:v>0</x:v>
      </x:c>
      <x:c r="H14" s="53" t="n">
        <x:f>IF(D14&lt;=MIN($L$7:$L$23),INDEX($M$7:$M$23,1),IF(D14&gt;=MAX($L$7:$L$23),INDEX($M$7:$M$23,ROWS($L$7:$L$23)),INDEX($M$7:$M$23,MATCH(D14,$L$7:$L$23,1))+(D14-INDEX($L$7:$L$23,MATCH(D14,$L$7:$L$23,1)))*(INDEX($M$7:$M$23,MATCH(D14,$L$7:$L$23,1)+1)-INDEX($M$7:$M$23,MATCH(D14,$L$7:$L$23,1)))/(INDEX($L$7:$L$23,MATCH(D14,$L$7:$L$23,1)+1)-INDEX($L$7:$L$23,MATCH(D14,$L$7:$L$23,1)))))</x:f>
        <x:v>8.325697916666668</x:v>
      </x:c>
      <x:c r="I14" s="53" t="n">
        <x:f>H14-B14</x:f>
        <x:v>0.10069791666666816</x:v>
      </x:c>
      <x:c r="J14" s="57" t="n">
        <x:f>IF(B14=0,0,ABS(I14)/B14)</x:f>
        <x:v>0.012242907801418621</x:v>
      </x:c>
      <x:c r="K14" s="1"/>
      <x:c r="L14" s="44" t="n">
        <x:v>111</x:v>
      </x:c>
      <x:c r="M14" s="45" t="n">
        <x:v>29.37666666666667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2" t="n">
        <x:v>8</x:v>
      </x:c>
      <x:c r="B15" s="53" t="n">
        <x:f>$B$3*A15/$E$3</x:f>
        <x:v>9.4</x:v>
      </x:c>
      <x:c r="C15" s="54" t="n">
        <x:f>IF(B15&lt;=MIN($M$7:$M$23),INDEX($L$7:$L$23,1),IF(B15&gt;=MAX($M$7:$M$23),INDEX($L$7:$L$23,ROWS($L$7:$L$23)),INDEX($L$7:$L$23,MATCH(B15,$M$7:$M$23,1))+(B15-INDEX($M$7:$M$23,MATCH(B15,$M$7:$M$23,1)))*(INDEX($L$7:$L$23,MATCH(B15,$M$7:$M$23,1)+1)-INDEX($L$7:$L$23,MATCH(B15,$M$7:$M$23,1)))/(INDEX($M$7:$M$23,MATCH(B15,$M$7:$M$23,1)+1)-INDEX($M$7:$M$23,MATCH(B15,$M$7:$M$23,1)))))</x:f>
        <x:v>64.01337303885074</x:v>
      </x:c>
      <x:c r="D15" s="55" t="n">
        <x:f>ROUND(C15,0)</x:f>
        <x:v>64</x:v>
      </x:c>
      <x:c r="E15" s="68" t="n">
        <x:f>0</x:f>
        <x:v>0</x:v>
      </x:c>
      <x:c r="F15" s="68" t="n">
        <x:f>D15</x:f>
        <x:v>64</x:v>
      </x:c>
      <x:c r="G15" s="68" t="n">
        <x:f>0</x:f>
        <x:v>0</x:v>
      </x:c>
      <x:c r="H15" s="53" t="n">
        <x:f>IF(D15&lt;=MIN($L$7:$L$23),INDEX($M$7:$M$23,1),IF(D15&gt;=MAX($L$7:$L$23),INDEX($M$7:$M$23,ROWS($L$7:$L$23)),INDEX($M$7:$M$23,MATCH(D15,$L$7:$L$23,1))+(D15-INDEX($L$7:$L$23,MATCH(D15,$L$7:$L$23,1)))*(INDEX($M$7:$M$23,MATCH(D15,$L$7:$L$23,1)+1)-INDEX($M$7:$M$23,MATCH(D15,$L$7:$L$23,1)))/(INDEX($L$7:$L$23,MATCH(D15,$L$7:$L$23,1)+1)-INDEX($L$7:$L$23,MATCH(D15,$L$7:$L$23,1)))))</x:f>
        <x:v>9.394947916666668</x:v>
      </x:c>
      <x:c r="I15" s="53" t="n">
        <x:f>H15-B15</x:f>
        <x:v>-0.005052083333332291</x:v>
      </x:c>
      <x:c r="J15" s="57" t="n">
        <x:f>IF(B15=0,0,ABS(I15)/B15)</x:f>
        <x:v>0.0005374556737587544</x:v>
      </x:c>
      <x:c r="K15" s="1"/>
      <x:c r="L15" s="44" t="n">
        <x:v>127</x:v>
      </x:c>
      <x:c r="M15" s="45" t="n">
        <x:v>38.62833333333334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2" t="n">
        <x:v>9</x:v>
      </x:c>
      <x:c r="B16" s="53" t="n">
        <x:f>$B$3*A16/$E$3</x:f>
        <x:v>10.575</x:v>
      </x:c>
      <x:c r="C16" s="54" t="n">
        <x:f>IF(B16&lt;=MIN($M$7:$M$23),INDEX($L$7:$L$23,1),IF(B16&gt;=MAX($M$7:$M$23),INDEX($L$7:$L$23,ROWS($L$7:$L$23)),INDEX($L$7:$L$23,MATCH(B16,$M$7:$M$23,1))+(B16-INDEX($M$7:$M$23,MATCH(B16,$M$7:$M$23,1)))*(INDEX($L$7:$L$23,MATCH(B16,$M$7:$M$23,1)+1)-INDEX($L$7:$L$23,MATCH(B16,$M$7:$M$23,1)))/(INDEX($M$7:$M$23,MATCH(B16,$M$7:$M$23,1)+1)-INDEX($M$7:$M$23,MATCH(B16,$M$7:$M$23,1)))))</x:f>
        <x:v>67.12363856949844</x:v>
      </x:c>
      <x:c r="D16" s="55" t="n">
        <x:f>ROUND(C16,0)</x:f>
        <x:v>67</x:v>
      </x:c>
      <x:c r="E16" s="68" t="n">
        <x:f>0</x:f>
        <x:v>0</x:v>
      </x:c>
      <x:c r="F16" s="68" t="n">
        <x:f>D16</x:f>
        <x:v>67</x:v>
      </x:c>
      <x:c r="G16" s="68" t="n">
        <x:f>0</x:f>
        <x:v>0</x:v>
      </x:c>
      <x:c r="H16" s="53" t="n">
        <x:f>IF(D16&lt;=MIN($L$7:$L$23),INDEX($M$7:$M$23,1),IF(D16&gt;=MAX($L$7:$L$23),INDEX($M$7:$M$23,ROWS($L$7:$L$23)),INDEX($M$7:$M$23,MATCH(D16,$L$7:$L$23,1))+(D16-INDEX($L$7:$L$23,MATCH(D16,$L$7:$L$23,1)))*(INDEX($M$7:$M$23,MATCH(D16,$L$7:$L$23,1)+1)-INDEX($M$7:$M$23,MATCH(D16,$L$7:$L$23,1)))/(INDEX($L$7:$L$23,MATCH(D16,$L$7:$L$23,1)+1)-INDEX($L$7:$L$23,MATCH(D16,$L$7:$L$23,1)))))</x:f>
        <x:v>10.528291666666668</x:v>
      </x:c>
      <x:c r="I16" s="53" t="n">
        <x:f>H16-B16</x:f>
        <x:v>-0.04670833333333135</x:v>
      </x:c>
      <x:c r="J16" s="57" t="n">
        <x:f>IF(B16=0,0,ABS(I16)/B16)</x:f>
        <x:v>0.004416863672182634</x:v>
      </x:c>
      <x:c r="K16" s="1"/>
      <x:c r="L16" s="44" t="n">
        <x:v>143</x:v>
      </x:c>
      <x:c r="M16" s="45" t="n">
        <x:v>49.806666666666665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2" t="n">
        <x:v>10</x:v>
      </x:c>
      <x:c r="B17" s="53" t="n">
        <x:f>$B$3*A17/$E$3</x:f>
        <x:v>11.75</x:v>
      </x:c>
      <x:c r="C17" s="54" t="n">
        <x:f>IF(B17&lt;=MIN($M$7:$M$23),INDEX($L$7:$L$23,1),IF(B17&gt;=MAX($M$7:$M$23),INDEX($L$7:$L$23,ROWS($L$7:$L$23)),INDEX($L$7:$L$23,MATCH(B17,$M$7:$M$23,1))+(B17-INDEX($M$7:$M$23,MATCH(B17,$M$7:$M$23,1)))*(INDEX($L$7:$L$23,MATCH(B17,$M$7:$M$23,1)+1)-INDEX($L$7:$L$23,MATCH(B17,$M$7:$M$23,1)))/(INDEX($M$7:$M$23,MATCH(B17,$M$7:$M$23,1)+1)-INDEX($M$7:$M$23,MATCH(B17,$M$7:$M$23,1)))))</x:f>
        <x:v>70.23390410014613</x:v>
      </x:c>
      <x:c r="D17" s="55" t="n">
        <x:f>ROUND(C17,0)</x:f>
        <x:v>70</x:v>
      </x:c>
      <x:c r="E17" s="68" t="n">
        <x:f>0</x:f>
        <x:v>0</x:v>
      </x:c>
      <x:c r="F17" s="68" t="n">
        <x:f>D17</x:f>
        <x:v>70</x:v>
      </x:c>
      <x:c r="G17" s="68" t="n">
        <x:f>0</x:f>
        <x:v>0</x:v>
      </x:c>
      <x:c r="H17" s="53" t="n">
        <x:f>IF(D17&lt;=MIN($L$7:$L$23),INDEX($M$7:$M$23,1),IF(D17&gt;=MAX($L$7:$L$23),INDEX($M$7:$M$23,ROWS($L$7:$L$23)),INDEX($M$7:$M$23,MATCH(D17,$L$7:$L$23,1))+(D17-INDEX($L$7:$L$23,MATCH(D17,$L$7:$L$23,1)))*(INDEX($M$7:$M$23,MATCH(D17,$L$7:$L$23,1)+1)-INDEX($M$7:$M$23,MATCH(D17,$L$7:$L$23,1)))/(INDEX($L$7:$L$23,MATCH(D17,$L$7:$L$23,1)+1)-INDEX($L$7:$L$23,MATCH(D17,$L$7:$L$23,1)))))</x:f>
        <x:v>11.661635416666668</x:v>
      </x:c>
      <x:c r="I17" s="53" t="n">
        <x:f>H17-B17</x:f>
        <x:v>-0.08836458333333219</x:v>
      </x:c>
      <x:c r="J17" s="57" t="n">
        <x:f>IF(B17=0,0,ABS(I17)/B17)</x:f>
        <x:v>0.007520390070921889</x:v>
      </x:c>
      <x:c r="K17" s="1"/>
      <x:c r="L17" s="44" t="n">
        <x:v>159</x:v>
      </x:c>
      <x:c r="M17" s="45" t="n">
        <x:v>62.85666666666666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2" t="n">
        <x:v>11</x:v>
      </x:c>
      <x:c r="B18" s="53" t="n">
        <x:f>$B$3*A18/$E$3</x:f>
        <x:v>12.925</x:v>
      </x:c>
      <x:c r="C18" s="54" t="n">
        <x:f>IF(B18&lt;=MIN($M$7:$M$23),INDEX($L$7:$L$23,1),IF(B18&gt;=MAX($M$7:$M$23),INDEX($L$7:$L$23,ROWS($L$7:$L$23)),INDEX($L$7:$L$23,MATCH(B18,$M$7:$M$23,1))+(B18-INDEX($M$7:$M$23,MATCH(B18,$M$7:$M$23,1)))*(INDEX($L$7:$L$23,MATCH(B18,$M$7:$M$23,1)+1)-INDEX($L$7:$L$23,MATCH(B18,$M$7:$M$23,1)))/(INDEX($M$7:$M$23,MATCH(B18,$M$7:$M$23,1)+1)-INDEX($M$7:$M$23,MATCH(B18,$M$7:$M$23,1)))))</x:f>
        <x:v>73.34416963079383</x:v>
      </x:c>
      <x:c r="D18" s="55" t="n">
        <x:f>ROUND(C18,0)</x:f>
        <x:v>73</x:v>
      </x:c>
      <x:c r="E18" s="68" t="n">
        <x:f>0</x:f>
        <x:v>0</x:v>
      </x:c>
      <x:c r="F18" s="68" t="n">
        <x:f>D18</x:f>
        <x:v>73</x:v>
      </x:c>
      <x:c r="G18" s="68" t="n">
        <x:f>0</x:f>
        <x:v>0</x:v>
      </x:c>
      <x:c r="H18" s="53" t="n">
        <x:f>IF(D18&lt;=MIN($L$7:$L$23),INDEX($M$7:$M$23,1),IF(D18&gt;=MAX($L$7:$L$23),INDEX($M$7:$M$23,ROWS($L$7:$L$23)),INDEX($M$7:$M$23,MATCH(D18,$L$7:$L$23,1))+(D18-INDEX($L$7:$L$23,MATCH(D18,$L$7:$L$23,1)))*(INDEX($M$7:$M$23,MATCH(D18,$L$7:$L$23,1)+1)-INDEX($M$7:$M$23,MATCH(D18,$L$7:$L$23,1)))/(INDEX($L$7:$L$23,MATCH(D18,$L$7:$L$23,1)+1)-INDEX($L$7:$L$23,MATCH(D18,$L$7:$L$23,1)))))</x:f>
        <x:v>12.794979166666668</x:v>
      </x:c>
      <x:c r="I18" s="53" t="n">
        <x:f>H18-B18</x:f>
        <x:v>-0.13002083333333303</x:v>
      </x:c>
      <x:c r="J18" s="57" t="n">
        <x:f>IF(B18=0,0,ABS(I18)/B18)</x:f>
        <x:v>0.010059638942617641</x:v>
      </x:c>
      <x:c r="K18" s="1"/>
      <x:c r="L18" s="44" t="n">
        <x:v>175</x:v>
      </x:c>
      <x:c r="M18" s="45" t="n">
        <x:v>75.10166666666666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2" t="n">
        <x:v>12</x:v>
      </x:c>
      <x:c r="B19" s="53" t="n">
        <x:f>$B$3*A19/$E$3</x:f>
        <x:v>14.1</x:v>
      </x:c>
      <x:c r="C19" s="54" t="n">
        <x:f>IF(B19&lt;=MIN($M$7:$M$23),INDEX($L$7:$L$23,1),IF(B19&gt;=MAX($M$7:$M$23),INDEX($L$7:$L$23,ROWS($L$7:$L$23)),INDEX($L$7:$L$23,MATCH(B19,$M$7:$M$23,1))+(B19-INDEX($M$7:$M$23,MATCH(B19,$M$7:$M$23,1)))*(INDEX($L$7:$L$23,MATCH(B19,$M$7:$M$23,1)+1)-INDEX($L$7:$L$23,MATCH(B19,$M$7:$M$23,1)))/(INDEX($M$7:$M$23,MATCH(B19,$M$7:$M$23,1)+1)-INDEX($M$7:$M$23,MATCH(B19,$M$7:$M$23,1)))))</x:f>
        <x:v>76.45443516144152</x:v>
      </x:c>
      <x:c r="D19" s="55" t="n">
        <x:f>ROUND(C19,0)</x:f>
        <x:v>76</x:v>
      </x:c>
      <x:c r="E19" s="68" t="n">
        <x:f>0</x:f>
        <x:v>0</x:v>
      </x:c>
      <x:c r="F19" s="68" t="n">
        <x:f>D19</x:f>
        <x:v>76</x:v>
      </x:c>
      <x:c r="G19" s="68" t="n">
        <x:f>0</x:f>
        <x:v>0</x:v>
      </x:c>
      <x:c r="H19" s="53" t="n">
        <x:f>IF(D19&lt;=MIN($L$7:$L$23),INDEX($M$7:$M$23,1),IF(D19&gt;=MAX($L$7:$L$23),INDEX($M$7:$M$23,ROWS($L$7:$L$23)),INDEX($M$7:$M$23,MATCH(D19,$L$7:$L$23,1))+(D19-INDEX($L$7:$L$23,MATCH(D19,$L$7:$L$23,1)))*(INDEX($M$7:$M$23,MATCH(D19,$L$7:$L$23,1)+1)-INDEX($M$7:$M$23,MATCH(D19,$L$7:$L$23,1)))/(INDEX($L$7:$L$23,MATCH(D19,$L$7:$L$23,1)+1)-INDEX($L$7:$L$23,MATCH(D19,$L$7:$L$23,1)))))</x:f>
        <x:v>13.928322916666668</x:v>
      </x:c>
      <x:c r="I19" s="53" t="n">
        <x:f>H19-B19</x:f>
        <x:v>-0.1716770833333321</x:v>
      </x:c>
      <x:c r="J19" s="57" t="n">
        <x:f>IF(B19=0,0,ABS(I19)/B19)</x:f>
        <x:v>0.012175679669030645</x:v>
      </x:c>
      <x:c r="K19" s="1"/>
      <x:c r="L19" s="44" t="n">
        <x:v>191</x:v>
      </x:c>
      <x:c r="M19" s="45" t="n">
        <x:v>86.73833333333334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2" t="n">
        <x:v>13</x:v>
      </x:c>
      <x:c r="B20" s="53" t="n">
        <x:f>$B$3*A20/$E$3</x:f>
        <x:v>15.275</x:v>
      </x:c>
      <x:c r="C20" s="54" t="n">
        <x:f>IF(B20&lt;=MIN($M$7:$M$23),INDEX($L$7:$L$23,1),IF(B20&gt;=MAX($M$7:$M$23),INDEX($L$7:$L$23,ROWS($L$7:$L$23)),INDEX($L$7:$L$23,MATCH(B20,$M$7:$M$23,1))+(B20-INDEX($M$7:$M$23,MATCH(B20,$M$7:$M$23,1)))*(INDEX($L$7:$L$23,MATCH(B20,$M$7:$M$23,1)+1)-INDEX($L$7:$L$23,MATCH(B20,$M$7:$M$23,1)))/(INDEX($M$7:$M$23,MATCH(B20,$M$7:$M$23,1)+1)-INDEX($M$7:$M$23,MATCH(B20,$M$7:$M$23,1)))))</x:f>
        <x:v>79.56888888888889</x:v>
      </x:c>
      <x:c r="D20" s="55" t="n">
        <x:f>ROUND(C20,0)</x:f>
        <x:v>80</x:v>
      </x:c>
      <x:c r="E20" s="68" t="n">
        <x:f>0</x:f>
        <x:v>0</x:v>
      </x:c>
      <x:c r="F20" s="68" t="n">
        <x:f>D20</x:f>
        <x:v>80</x:v>
      </x:c>
      <x:c r="G20" s="68" t="n">
        <x:f>0</x:f>
        <x:v>0</x:v>
      </x:c>
      <x:c r="H20" s="53" t="n">
        <x:f>IF(D20&lt;=MIN($L$7:$L$23),INDEX($M$7:$M$23,1),IF(D20&gt;=MAX($L$7:$L$23),INDEX($M$7:$M$23,ROWS($L$7:$L$23)),INDEX($M$7:$M$23,MATCH(D20,$L$7:$L$23,1))+(D20-INDEX($L$7:$L$23,MATCH(D20,$L$7:$L$23,1)))*(INDEX($M$7:$M$23,MATCH(D20,$L$7:$L$23,1)+1)-INDEX($M$7:$M$23,MATCH(D20,$L$7:$L$23,1)))/(INDEX($L$7:$L$23,MATCH(D20,$L$7:$L$23,1)+1)-INDEX($L$7:$L$23,MATCH(D20,$L$7:$L$23,1)))))</x:f>
        <x:v>15.436666666666667</x:v>
      </x:c>
      <x:c r="I20" s="53" t="n">
        <x:f>H20-B20</x:f>
        <x:v>0.16166666666666707</x:v>
      </x:c>
      <x:c r="J20" s="57" t="n">
        <x:f>IF(B20=0,0,ABS(I20)/B20)</x:f>
        <x:v>0.010583742498636141</x:v>
      </x:c>
      <x:c r="K20" s="1"/>
      <x:c r="L20" s="44" t="n">
        <x:v>207</x:v>
      </x:c>
      <x:c r="M20" s="45" t="n">
        <x:v>101.36166666666668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2" t="n">
        <x:v>14</x:v>
      </x:c>
      <x:c r="B21" s="53" t="n">
        <x:f>$B$3*A21/$E$3</x:f>
        <x:v>16.45</x:v>
      </x:c>
      <x:c r="C21" s="54" t="n">
        <x:f>IF(B21&lt;=MIN($M$7:$M$23),INDEX($L$7:$L$23,1),IF(B21&gt;=MAX($M$7:$M$23),INDEX($L$7:$L$23,ROWS($L$7:$L$23)),INDEX($L$7:$L$23,MATCH(B21,$M$7:$M$23,1))+(B21-INDEX($M$7:$M$23,MATCH(B21,$M$7:$M$23,1)))*(INDEX($L$7:$L$23,MATCH(B21,$M$7:$M$23,1)+1)-INDEX($L$7:$L$23,MATCH(B21,$M$7:$M$23,1)))/(INDEX($M$7:$M$23,MATCH(B21,$M$7:$M$23,1)+1)-INDEX($M$7:$M$23,MATCH(B21,$M$7:$M$23,1)))))</x:f>
        <x:v>82.70222222222222</x:v>
      </x:c>
      <x:c r="D21" s="55" t="n">
        <x:f>ROUND(C21,0)</x:f>
        <x:v>83</x:v>
      </x:c>
      <x:c r="E21" s="68" t="n">
        <x:f>0</x:f>
        <x:v>0</x:v>
      </x:c>
      <x:c r="F21" s="68" t="n">
        <x:f>D21</x:f>
        <x:v>83</x:v>
      </x:c>
      <x:c r="G21" s="68" t="n">
        <x:f>0</x:f>
        <x:v>0</x:v>
      </x:c>
      <x:c r="H21" s="53" t="n">
        <x:f>IF(D21&lt;=MIN($L$7:$L$23),INDEX($M$7:$M$23,1),IF(D21&gt;=MAX($L$7:$L$23),INDEX($M$7:$M$23,ROWS($L$7:$L$23)),INDEX($M$7:$M$23,MATCH(D21,$L$7:$L$23,1))+(D21-INDEX($L$7:$L$23,MATCH(D21,$L$7:$L$23,1)))*(INDEX($M$7:$M$23,MATCH(D21,$L$7:$L$23,1)+1)-INDEX($M$7:$M$23,MATCH(D21,$L$7:$L$23,1)))/(INDEX($L$7:$L$23,MATCH(D21,$L$7:$L$23,1)+1)-INDEX($L$7:$L$23,MATCH(D21,$L$7:$L$23,1)))))</x:f>
        <x:v>16.561666666666667</x:v>
      </x:c>
      <x:c r="I21" s="53" t="n">
        <x:f>H21-B21</x:f>
        <x:v>0.11166666666666814</x:v>
      </x:c>
      <x:c r="J21" s="57" t="n">
        <x:f>IF(B21=0,0,ABS(I21)/B21)</x:f>
        <x:v>0.006788247213779218</x:v>
      </x:c>
      <x:c r="K21" s="1"/>
      <x:c r="L21" s="44" t="n">
        <x:v>223</x:v>
      </x:c>
      <x:c r="M21" s="45" t="n">
        <x:v>117.35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2" t="n">
        <x:v>15</x:v>
      </x:c>
      <x:c r="B22" s="53" t="n">
        <x:f>$B$3*A22/$E$3</x:f>
        <x:v>17.625</x:v>
      </x:c>
      <x:c r="C22" s="54" t="n">
        <x:f>IF(B22&lt;=MIN($M$7:$M$23),INDEX($L$7:$L$23,1),IF(B22&gt;=MAX($M$7:$M$23),INDEX($L$7:$L$23,ROWS($L$7:$L$23)),INDEX($L$7:$L$23,MATCH(B22,$M$7:$M$23,1))+(B22-INDEX($M$7:$M$23,MATCH(B22,$M$7:$M$23,1)))*(INDEX($L$7:$L$23,MATCH(B22,$M$7:$M$23,1)+1)-INDEX($L$7:$L$23,MATCH(B22,$M$7:$M$23,1)))/(INDEX($M$7:$M$23,MATCH(B22,$M$7:$M$23,1)+1)-INDEX($M$7:$M$23,MATCH(B22,$M$7:$M$23,1)))))</x:f>
        <x:v>85.83555555555556</x:v>
      </x:c>
      <x:c r="D22" s="55" t="n">
        <x:f>ROUND(C22,0)</x:f>
        <x:v>86</x:v>
      </x:c>
      <x:c r="E22" s="68" t="n">
        <x:f>0</x:f>
        <x:v>0</x:v>
      </x:c>
      <x:c r="F22" s="68" t="n">
        <x:f>D22</x:f>
        <x:v>86</x:v>
      </x:c>
      <x:c r="G22" s="68" t="n">
        <x:f>0</x:f>
        <x:v>0</x:v>
      </x:c>
      <x:c r="H22" s="53" t="n">
        <x:f>IF(D22&lt;=MIN($L$7:$L$23),INDEX($M$7:$M$23,1),IF(D22&gt;=MAX($L$7:$L$23),INDEX($M$7:$M$23,ROWS($L$7:$L$23)),INDEX($M$7:$M$23,MATCH(D22,$L$7:$L$23,1))+(D22-INDEX($L$7:$L$23,MATCH(D22,$L$7:$L$23,1)))*(INDEX($M$7:$M$23,MATCH(D22,$L$7:$L$23,1)+1)-INDEX($M$7:$M$23,MATCH(D22,$L$7:$L$23,1)))/(INDEX($L$7:$L$23,MATCH(D22,$L$7:$L$23,1)+1)-INDEX($L$7:$L$23,MATCH(D22,$L$7:$L$23,1)))))</x:f>
        <x:v>17.686666666666667</x:v>
      </x:c>
      <x:c r="I22" s="53" t="n">
        <x:f>H22-B22</x:f>
        <x:v>0.061666666666667425</x:v>
      </x:c>
      <x:c r="J22" s="57" t="n">
        <x:f>IF(B22=0,0,ABS(I22)/B22)</x:f>
        <x:v>0.003498817966903116</x:v>
      </x:c>
      <x:c r="K22" s="1"/>
      <x:c r="L22" s="44" t="n">
        <x:v>239</x:v>
      </x:c>
      <x:c r="M22" s="45" t="n">
        <x:v>131.85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2" t="n">
        <x:v>16</x:v>
      </x:c>
      <x:c r="B23" s="53" t="n">
        <x:f>$B$3*A23/$E$3</x:f>
        <x:v>18.8</x:v>
      </x:c>
      <x:c r="C23" s="54" t="n">
        <x:f>IF(B23&lt;=MIN($M$7:$M$23),INDEX($L$7:$L$23,1),IF(B23&gt;=MAX($M$7:$M$23),INDEX($L$7:$L$23,ROWS($L$7:$L$23)),INDEX($L$7:$L$23,MATCH(B23,$M$7:$M$23,1))+(B23-INDEX($M$7:$M$23,MATCH(B23,$M$7:$M$23,1)))*(INDEX($L$7:$L$23,MATCH(B23,$M$7:$M$23,1)+1)-INDEX($L$7:$L$23,MATCH(B23,$M$7:$M$23,1)))/(INDEX($M$7:$M$23,MATCH(B23,$M$7:$M$23,1)+1)-INDEX($M$7:$M$23,MATCH(B23,$M$7:$M$23,1)))))</x:f>
        <x:v>88.96888888888888</x:v>
      </x:c>
      <x:c r="D23" s="55" t="n">
        <x:f>ROUND(C23,0)</x:f>
        <x:v>89</x:v>
      </x:c>
      <x:c r="E23" s="68" t="n">
        <x:f>0</x:f>
        <x:v>0</x:v>
      </x:c>
      <x:c r="F23" s="68" t="n">
        <x:f>D23</x:f>
        <x:v>89</x:v>
      </x:c>
      <x:c r="G23" s="68" t="n">
        <x:f>0</x:f>
        <x:v>0</x:v>
      </x:c>
      <x:c r="H23" s="53" t="n">
        <x:f>IF(D23&lt;=MIN($L$7:$L$23),INDEX($M$7:$M$23,1),IF(D23&gt;=MAX($L$7:$L$23),INDEX($M$7:$M$23,ROWS($L$7:$L$23)),INDEX($M$7:$M$23,MATCH(D23,$L$7:$L$23,1))+(D23-INDEX($L$7:$L$23,MATCH(D23,$L$7:$L$23,1)))*(INDEX($M$7:$M$23,MATCH(D23,$L$7:$L$23,1)+1)-INDEX($M$7:$M$23,MATCH(D23,$L$7:$L$23,1)))/(INDEX($L$7:$L$23,MATCH(D23,$L$7:$L$23,1)+1)-INDEX($L$7:$L$23,MATCH(D23,$L$7:$L$23,1)))))</x:f>
        <x:v>18.811666666666667</x:v>
      </x:c>
      <x:c r="I23" s="53" t="n">
        <x:f>H23-B23</x:f>
        <x:v>0.011666666666666714</x:v>
      </x:c>
      <x:c r="J23" s="57" t="n">
        <x:f>IF(B23=0,0,ABS(I23)/B23)</x:f>
        <x:v>0.0006205673758865273</x:v>
      </x:c>
      <x:c r="K23" s="1"/>
      <x:c r="L23" s="44" t="n">
        <x:v>255</x:v>
      </x:c>
      <x:c r="M23" s="45" t="n">
        <x:v>148.66666666666669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2" t="n">
        <x:v>17</x:v>
      </x:c>
      <x:c r="B24" s="53" t="n">
        <x:f>$B$3*A24/$E$3</x:f>
        <x:v>19.975</x:v>
      </x:c>
      <x:c r="C24" s="54" t="n">
        <x:f>IF(B24&lt;=MIN($M$7:$M$23),INDEX($L$7:$L$23,1),IF(B24&gt;=MAX($M$7:$M$23),INDEX($L$7:$L$23,ROWS($L$7:$L$23)),INDEX($L$7:$L$23,MATCH(B24,$M$7:$M$23,1))+(B24-INDEX($M$7:$M$23,MATCH(B24,$M$7:$M$23,1)))*(INDEX($L$7:$L$23,MATCH(B24,$M$7:$M$23,1)+1)-INDEX($L$7:$L$23,MATCH(B24,$M$7:$M$23,1)))/(INDEX($M$7:$M$23,MATCH(B24,$M$7:$M$23,1)+1)-INDEX($M$7:$M$23,MATCH(B24,$M$7:$M$23,1)))))</x:f>
        <x:v>92.10222222222222</x:v>
      </x:c>
      <x:c r="D24" s="55" t="n">
        <x:f>ROUND(C24,0)</x:f>
        <x:v>92</x:v>
      </x:c>
      <x:c r="E24" s="68" t="n">
        <x:f>0</x:f>
        <x:v>0</x:v>
      </x:c>
      <x:c r="F24" s="68" t="n">
        <x:f>D24</x:f>
        <x:v>92</x:v>
      </x:c>
      <x:c r="G24" s="68" t="n">
        <x:f>0</x:f>
        <x:v>0</x:v>
      </x:c>
      <x:c r="H24" s="53" t="n">
        <x:f>IF(D24&lt;=MIN($L$7:$L$23),INDEX($M$7:$M$23,1),IF(D24&gt;=MAX($L$7:$L$23),INDEX($M$7:$M$23,ROWS($L$7:$L$23)),INDEX($M$7:$M$23,MATCH(D24,$L$7:$L$23,1))+(D24-INDEX($L$7:$L$23,MATCH(D24,$L$7:$L$23,1)))*(INDEX($M$7:$M$23,MATCH(D24,$L$7:$L$23,1)+1)-INDEX($M$7:$M$23,MATCH(D24,$L$7:$L$23,1)))/(INDEX($L$7:$L$23,MATCH(D24,$L$7:$L$23,1)+1)-INDEX($L$7:$L$23,MATCH(D24,$L$7:$L$23,1)))))</x:f>
        <x:v>19.936666666666667</x:v>
      </x:c>
      <x:c r="I24" s="53" t="n">
        <x:f>H24-B24</x:f>
        <x:v>-0.038333333333333997</x:v>
      </x:c>
      <x:c r="J24" s="57" t="n">
        <x:f>IF(B24=0,0,ABS(I24)/B24)</x:f>
        <x:v>0.0019190654985398745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2" t="n">
        <x:v>18</x:v>
      </x:c>
      <x:c r="B25" s="53" t="n">
        <x:f>$B$3*A25/$E$3</x:f>
        <x:v>21.15</x:v>
      </x:c>
      <x:c r="C25" s="54" t="n">
        <x:f>IF(B25&lt;=MIN($M$7:$M$23),INDEX($L$7:$L$23,1),IF(B25&gt;=MAX($M$7:$M$23),INDEX($L$7:$L$23,ROWS($L$7:$L$23)),INDEX($L$7:$L$23,MATCH(B25,$M$7:$M$23,1))+(B25-INDEX($M$7:$M$23,MATCH(B25,$M$7:$M$23,1)))*(INDEX($L$7:$L$23,MATCH(B25,$M$7:$M$23,1)+1)-INDEX($L$7:$L$23,MATCH(B25,$M$7:$M$23,1)))/(INDEX($M$7:$M$23,MATCH(B25,$M$7:$M$23,1)+1)-INDEX($M$7:$M$23,MATCH(B25,$M$7:$M$23,1)))))</x:f>
        <x:v>95.16997394267388</x:v>
      </x:c>
      <x:c r="D25" s="55" t="n">
        <x:f>ROUND(C25,0)</x:f>
        <x:v>95</x:v>
      </x:c>
      <x:c r="E25" s="68" t="n">
        <x:f>0</x:f>
        <x:v>0</x:v>
      </x:c>
      <x:c r="F25" s="68" t="n">
        <x:f>D25</x:f>
        <x:v>95</x:v>
      </x:c>
      <x:c r="G25" s="68" t="n">
        <x:f>0</x:f>
        <x:v>0</x:v>
      </x:c>
      <x:c r="H25" s="53" t="n">
        <x:f>IF(D25&lt;=MIN($L$7:$L$23),INDEX($M$7:$M$23,1),IF(D25&gt;=MAX($L$7:$L$23),INDEX($M$7:$M$23,ROWS($L$7:$L$23)),INDEX($M$7:$M$23,MATCH(D25,$L$7:$L$23,1))+(D25-INDEX($L$7:$L$23,MATCH(D25,$L$7:$L$23,1)))*(INDEX($M$7:$M$23,MATCH(D25,$L$7:$L$23,1)+1)-INDEX($M$7:$M$23,MATCH(D25,$L$7:$L$23,1)))/(INDEX($L$7:$L$23,MATCH(D25,$L$7:$L$23,1)+1)-INDEX($L$7:$L$23,MATCH(D25,$L$7:$L$23,1)))))</x:f>
        <x:v>21.061666666666667</x:v>
      </x:c>
      <x:c r="I25" s="53" t="n">
        <x:f>H25-B25</x:f>
        <x:v>-0.08833333333333115</x:v>
      </x:c>
      <x:c r="J25" s="57" t="n">
        <x:f>IF(B25=0,0,ABS(I25)/B25)</x:f>
        <x:v>0.004176516942474287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52" t="n">
        <x:v>19</x:v>
      </x:c>
      <x:c r="B26" s="53" t="n">
        <x:f>$B$3*A26/$E$3</x:f>
        <x:v>22.325</x:v>
      </x:c>
      <x:c r="C26" s="54" t="n">
        <x:f>IF(B26&lt;=MIN($M$7:$M$23),INDEX($L$7:$L$23,1),IF(B26&gt;=MAX($M$7:$M$23),INDEX($L$7:$L$23,ROWS($L$7:$L$23)),INDEX($L$7:$L$23,MATCH(B26,$M$7:$M$23,1))+(B26-INDEX($M$7:$M$23,MATCH(B26,$M$7:$M$23,1)))*(INDEX($L$7:$L$23,MATCH(B26,$M$7:$M$23,1)+1)-INDEX($L$7:$L$23,MATCH(B26,$M$7:$M$23,1)))/(INDEX($M$7:$M$23,MATCH(B26,$M$7:$M$23,1)+1)-INDEX($M$7:$M$23,MATCH(B26,$M$7:$M$23,1)))))</x:f>
        <x:v>97.43094808578873</x:v>
      </x:c>
      <x:c r="D26" s="55" t="n">
        <x:f>ROUND(C26,0)</x:f>
        <x:v>97</x:v>
      </x:c>
      <x:c r="E26" s="68" t="n">
        <x:f>0</x:f>
        <x:v>0</x:v>
      </x:c>
      <x:c r="F26" s="68" t="n">
        <x:f>D26</x:f>
        <x:v>97</x:v>
      </x:c>
      <x:c r="G26" s="68" t="n">
        <x:f>0</x:f>
        <x:v>0</x:v>
      </x:c>
      <x:c r="H26" s="53" t="n">
        <x:f>IF(D26&lt;=MIN($L$7:$L$23),INDEX($M$7:$M$23,1),IF(D26&gt;=MAX($L$7:$L$23),INDEX($M$7:$M$23,ROWS($L$7:$L$23)),INDEX($M$7:$M$23,MATCH(D26,$L$7:$L$23,1))+(D26-INDEX($L$7:$L$23,MATCH(D26,$L$7:$L$23,1)))*(INDEX($M$7:$M$23,MATCH(D26,$L$7:$L$23,1)+1)-INDEX($M$7:$M$23,MATCH(D26,$L$7:$L$23,1)))/(INDEX($L$7:$L$23,MATCH(D26,$L$7:$L$23,1)+1)-INDEX($L$7:$L$23,MATCH(D26,$L$7:$L$23,1)))))</x:f>
        <x:v>22.101041666666667</x:v>
      </x:c>
      <x:c r="I26" s="53" t="n">
        <x:f>H26-B26</x:f>
        <x:v>-0.22395833333333215</x:v>
      </x:c>
      <x:c r="J26" s="57" t="n">
        <x:f>IF(B26=0,0,ABS(I26)/B26)</x:f>
        <x:v>0.010031728256812191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2" t="n">
        <x:v>20</x:v>
      </x:c>
      <x:c r="B27" s="53" t="n">
        <x:f>$B$3*A27/$E$3</x:f>
        <x:v>23.5</x:v>
      </x:c>
      <x:c r="C27" s="54" t="n">
        <x:f>IF(B27&lt;=MIN($M$7:$M$23),INDEX($L$7:$L$23,1),IF(B27&gt;=MAX($M$7:$M$23),INDEX($L$7:$L$23,ROWS($L$7:$L$23)),INDEX($L$7:$L$23,MATCH(B27,$M$7:$M$23,1))+(B27-INDEX($M$7:$M$23,MATCH(B27,$M$7:$M$23,1)))*(INDEX($L$7:$L$23,MATCH(B27,$M$7:$M$23,1)+1)-INDEX($L$7:$L$23,MATCH(B27,$M$7:$M$23,1)))/(INDEX($M$7:$M$23,MATCH(B27,$M$7:$M$23,1)+1)-INDEX($M$7:$M$23,MATCH(B27,$M$7:$M$23,1)))))</x:f>
        <x:v>99.6919222289036</x:v>
      </x:c>
      <x:c r="D27" s="55" t="n">
        <x:f>ROUND(C27,0)</x:f>
        <x:v>100</x:v>
      </x:c>
      <x:c r="E27" s="68" t="n">
        <x:f>0</x:f>
        <x:v>0</x:v>
      </x:c>
      <x:c r="F27" s="68" t="n">
        <x:f>D27</x:f>
        <x:v>100</x:v>
      </x:c>
      <x:c r="G27" s="68" t="n">
        <x:f>0</x:f>
        <x:v>0</x:v>
      </x:c>
      <x:c r="H27" s="53" t="n">
        <x:f>IF(D27&lt;=MIN($L$7:$L$23),INDEX($M$7:$M$23,1),IF(D27&gt;=MAX($L$7:$L$23),INDEX($M$7:$M$23,ROWS($L$7:$L$23)),INDEX($M$7:$M$23,MATCH(D27,$L$7:$L$23,1))+(D27-INDEX($L$7:$L$23,MATCH(D27,$L$7:$L$23,1)))*(INDEX($M$7:$M$23,MATCH(D27,$L$7:$L$23,1)+1)-INDEX($M$7:$M$23,MATCH(D27,$L$7:$L$23,1)))/(INDEX($L$7:$L$23,MATCH(D27,$L$7:$L$23,1)+1)-INDEX($L$7:$L$23,MATCH(D27,$L$7:$L$23,1)))))</x:f>
        <x:v>23.660104166666667</x:v>
      </x:c>
      <x:c r="I27" s="53" t="n">
        <x:f>H27-B27</x:f>
        <x:v>0.16010416666666671</x:v>
      </x:c>
      <x:c r="J27" s="57" t="n">
        <x:f>IF(B27=0,0,ABS(I27)/B27)</x:f>
        <x:v>0.00681294326241135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</x:sheetData>
  <x:mergeCells>
    <x:mergeCell ref="A1:J1"/>
    <x:mergeCell ref="A2:J2"/>
    <x:mergeCell ref="A4:J4"/>
  </x:mergeCells>
  <x:conditionalFormatting sqref="J7:J27">
    <x:cfRule type="colorScale" priority="1">
      <x:colorScale>
        <x:cfvo type="min"/>
        <x:cfvo type="percentile" val="50"/>
        <x:cfvo type="max"/>
        <x:color rgb="FFE8F5E9"/>
        <x:color rgb="FFFFF4CC"/>
        <x:color rgb="FFFADBD8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3" hidden="0" customWidth="1"/>
    <x:col min="5" max="5" width="8" hidden="0" customWidth="1"/>
    <x:col min="6" max="6" width="8" hidden="0" customWidth="1"/>
    <x:col min="7" max="7" width="8" hidden="0" customWidth="1"/>
    <x:col min="8" max="8" width="13" hidden="0" customWidth="1"/>
    <x:col min="9" max="9" width="13" hidden="0" customWidth="1"/>
    <x:col min="10" max="10" width="11" hidden="0" customWidth="1"/>
    <x:col min="11" max="11" width="3" hidden="0" customWidth="1"/>
    <x:col min="12" max="12" width="15" hidden="0" customWidth="1"/>
    <x:col min="13" max="13" width="15" hidden="0" customWidth="1"/>
  </x:cols>
  <x:sheetData>
    <x:row r="1" ht="28" customHeight="1">
      <x:c r="A1" s="71" t="str">
        <x:v>Blue：0–20 等亮度刺激标定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75" t="str">
        <x:v>方法：先把 0–20 线性映射到共同目标亮度，再对该通道的实测“屏幕值→亮度”曲线做分段线性反插值；推荐屏幕值取最近整数。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6" customHeight="1">
      <x:c r="A3" s="11" t="str">
        <x:v>共同最大目标亮度 (cd/m²)</x:v>
      </x:c>
      <x:c r="B3" s="14" t="n">
        <x:f>MIN('R'!$M$23,'G'!$M$23,'B'!$M$23,'Gray'!$M$23)</x:f>
        <x:v>23.5</x:v>
      </x:c>
      <x:c r="C3" s="11"/>
      <x:c r="D3" s="11" t="str">
        <x:v>最大强度等级</x:v>
      </x:c>
      <x:c r="E3" s="15" t="n">
        <x:v>20</x:v>
      </x:c>
      <x:c r="F3" s="11"/>
      <x:c r="G3" s="11" t="str">
        <x:v>限制通道</x:v>
      </x:c>
      <x:c r="H3" s="13" t="str">
        <x:v>B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19" t="str">
        <x:v>注意：自动测量没有 RGB=0 的数据；等级 0 定义为屏幕值 (0,0,0)，曲线中补入 (输入0, 亮度0)。等级 1–20 的目标亮度均落在实测范围内。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2" t="str">
        <x:v>强度等级</x:v>
      </x:c>
      <x:c r="B6" s="32" t="str">
        <x:v>目标亮度
(cd/m²)</x:v>
      </x:c>
      <x:c r="C6" s="32" t="str">
        <x:v>反插值通道值
(连续)</x:v>
      </x:c>
      <x:c r="D6" s="32" t="str">
        <x:v>推荐通道值
(整数)</x:v>
      </x:c>
      <x:c r="E6" s="32" t="str">
        <x:v>R</x:v>
      </x:c>
      <x:c r="F6" s="32" t="str">
        <x:v>G</x:v>
      </x:c>
      <x:c r="G6" s="32" t="str">
        <x:v>B</x:v>
      </x:c>
      <x:c r="H6" s="32" t="str">
        <x:v>预计亮度
(cd/m²)</x:v>
      </x:c>
      <x:c r="I6" s="32" t="str">
        <x:v>亮度误差
(cd/m²)</x:v>
      </x:c>
      <x:c r="J6" s="32" t="str">
        <x:v>相对误差</x:v>
      </x:c>
      <x:c r="K6" s="1"/>
      <x:c r="L6" s="36" t="str">
        <x:v>实测输入值</x:v>
      </x:c>
      <x:c r="M6" s="36" t="str">
        <x:v>最终平均亮度
(cd/m²)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2" t="n">
        <x:v>0</x:v>
      </x:c>
      <x:c r="B7" s="53" t="n">
        <x:f>$B$3*A7/$E$3</x:f>
        <x:v>0</x:v>
      </x:c>
      <x:c r="C7" s="54" t="n">
        <x:f>IF(B7&lt;=MIN($M$7:$M$23),INDEX($L$7:$L$23,1),IF(B7&gt;=MAX($M$7:$M$23),INDEX($L$7:$L$23,ROWS($L$7:$L$23)),INDEX($L$7:$L$23,MATCH(B7,$M$7:$M$23,1))+(B7-INDEX($M$7:$M$23,MATCH(B7,$M$7:$M$23,1)))*(INDEX($L$7:$L$23,MATCH(B7,$M$7:$M$23,1)+1)-INDEX($L$7:$L$23,MATCH(B7,$M$7:$M$23,1)))/(INDEX($M$7:$M$23,MATCH(B7,$M$7:$M$23,1)+1)-INDEX($M$7:$M$23,MATCH(B7,$M$7:$M$23,1)))))</x:f>
        <x:v>0</x:v>
      </x:c>
      <x:c r="D7" s="55" t="n">
        <x:f>ROUND(C7,0)</x:f>
        <x:v>0</x:v>
      </x:c>
      <x:c r="E7" s="79" t="n">
        <x:f>0</x:f>
        <x:v>0</x:v>
      </x:c>
      <x:c r="F7" s="79" t="n">
        <x:f>0</x:f>
        <x:v>0</x:v>
      </x:c>
      <x:c r="G7" s="79" t="n">
        <x:f>D7</x:f>
        <x:v>0</x:v>
      </x:c>
      <x:c r="H7" s="53" t="n">
        <x:f>IF(D7&lt;=MIN($L$7:$L$23),INDEX($M$7:$M$23,1),IF(D7&gt;=MAX($L$7:$L$23),INDEX($M$7:$M$23,ROWS($L$7:$L$23)),INDEX($M$7:$M$23,MATCH(D7,$L$7:$L$23,1))+(D7-INDEX($L$7:$L$23,MATCH(D7,$L$7:$L$23,1)))*(INDEX($M$7:$M$23,MATCH(D7,$L$7:$L$23,1)+1)-INDEX($M$7:$M$23,MATCH(D7,$L$7:$L$23,1)))/(INDEX($L$7:$L$23,MATCH(D7,$L$7:$L$23,1)+1)-INDEX($L$7:$L$23,MATCH(D7,$L$7:$L$23,1)))))</x:f>
        <x:v>0</x:v>
      </x:c>
      <x:c r="I7" s="53" t="n">
        <x:f>H7-B7</x:f>
        <x:v>0</x:v>
      </x:c>
      <x:c r="J7" s="57" t="n">
        <x:f>IF(B7=0,0,ABS(I7)/B7)</x:f>
        <x:v>0</x:v>
      </x:c>
      <x:c r="K7" s="1"/>
      <x:c r="L7" s="44" t="n">
        <x:v>0</x:v>
      </x:c>
      <x:c r="M7" s="45" t="n">
        <x:v>0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2" t="n">
        <x:v>1</x:v>
      </x:c>
      <x:c r="B8" s="53" t="n">
        <x:f>$B$3*A8/$E$3</x:f>
        <x:v>1.175</x:v>
      </x:c>
      <x:c r="C8" s="54" t="n">
        <x:f>IF(B8&lt;=MIN($M$7:$M$23),INDEX($L$7:$L$23,1),IF(B8&gt;=MAX($M$7:$M$23),INDEX($L$7:$L$23,ROWS($L$7:$L$23)),INDEX($L$7:$L$23,MATCH(B8,$M$7:$M$23,1))+(B8-INDEX($M$7:$M$23,MATCH(B8,$M$7:$M$23,1)))*(INDEX($L$7:$L$23,MATCH(B8,$M$7:$M$23,1)+1)-INDEX($L$7:$L$23,MATCH(B8,$M$7:$M$23,1)))/(INDEX($M$7:$M$23,MATCH(B8,$M$7:$M$23,1)+1)-INDEX($M$7:$M$23,MATCH(B8,$M$7:$M$23,1)))))</x:f>
        <x:v>57.84467944481163</x:v>
      </x:c>
      <x:c r="D8" s="55" t="n">
        <x:f>ROUND(C8,0)</x:f>
        <x:v>58</x:v>
      </x:c>
      <x:c r="E8" s="79" t="n">
        <x:f>0</x:f>
        <x:v>0</x:v>
      </x:c>
      <x:c r="F8" s="79" t="n">
        <x:f>0</x:f>
        <x:v>0</x:v>
      </x:c>
      <x:c r="G8" s="79" t="n">
        <x:f>D8</x:f>
        <x:v>58</x:v>
      </x:c>
      <x:c r="H8" s="53" t="n">
        <x:f>IF(D8&lt;=MIN($L$7:$L$23),INDEX($M$7:$M$23,1),IF(D8&gt;=MAX($L$7:$L$23),INDEX($M$7:$M$23,ROWS($L$7:$L$23)),INDEX($M$7:$M$23,MATCH(D8,$L$7:$L$23,1))+(D8-INDEX($L$7:$L$23,MATCH(D8,$L$7:$L$23,1)))*(INDEX($M$7:$M$23,MATCH(D8,$L$7:$L$23,1)+1)-INDEX($M$7:$M$23,MATCH(D8,$L$7:$L$23,1)))/(INDEX($L$7:$L$23,MATCH(D8,$L$7:$L$23,1)+1)-INDEX($L$7:$L$23,MATCH(D8,$L$7:$L$23,1)))))</x:f>
        <x:v>1.1798958333333331</x:v>
      </x:c>
      <x:c r="I8" s="53" t="n">
        <x:f>H8-B8</x:f>
        <x:v>0.0048958333333330994</x:v>
      </x:c>
      <x:c r="J8" s="57" t="n">
        <x:f>IF(B8=0,0,ABS(I8)/B8)</x:f>
        <x:v>0.004166666666666467</x:v>
      </x:c>
      <x:c r="K8" s="1"/>
      <x:c r="L8" s="44" t="n">
        <x:v>15</x:v>
      </x:c>
      <x:c r="M8" s="45" t="n">
        <x:v>0.27046666666666663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2" t="n">
        <x:v>2</x:v>
      </x:c>
      <x:c r="B9" s="53" t="n">
        <x:f>$B$3*A9/$E$3</x:f>
        <x:v>2.35</x:v>
      </x:c>
      <x:c r="C9" s="54" t="n">
        <x:f>IF(B9&lt;=MIN($M$7:$M$23),INDEX($L$7:$L$23,1),IF(B9&gt;=MAX($M$7:$M$23),INDEX($L$7:$L$23,ROWS($L$7:$L$23)),INDEX($L$7:$L$23,MATCH(B9,$M$7:$M$23,1))+(B9-INDEX($M$7:$M$23,MATCH(B9,$M$7:$M$23,1)))*(INDEX($L$7:$L$23,MATCH(B9,$M$7:$M$23,1)+1)-INDEX($L$7:$L$23,MATCH(B9,$M$7:$M$23,1)))/(INDEX($M$7:$M$23,MATCH(B9,$M$7:$M$23,1)+1)-INDEX($M$7:$M$23,MATCH(B9,$M$7:$M$23,1)))))</x:f>
        <x:v>84.6006628003314</x:v>
      </x:c>
      <x:c r="D9" s="55" t="n">
        <x:f>ROUND(C9,0)</x:f>
        <x:v>85</x:v>
      </x:c>
      <x:c r="E9" s="79" t="n">
        <x:f>0</x:f>
        <x:v>0</x:v>
      </x:c>
      <x:c r="F9" s="79" t="n">
        <x:f>0</x:f>
        <x:v>0</x:v>
      </x:c>
      <x:c r="G9" s="79" t="n">
        <x:f>D9</x:f>
        <x:v>85</x:v>
      </x:c>
      <x:c r="H9" s="53" t="n">
        <x:f>IF(D9&lt;=MIN($L$7:$L$23),INDEX($M$7:$M$23,1),IF(D9&gt;=MAX($L$7:$L$23),INDEX($M$7:$M$23,ROWS($L$7:$L$23)),INDEX($M$7:$M$23,MATCH(D9,$L$7:$L$23,1))+(D9-INDEX($L$7:$L$23,MATCH(D9,$L$7:$L$23,1)))*(INDEX($M$7:$M$23,MATCH(D9,$L$7:$L$23,1)+1)-INDEX($M$7:$M$23,MATCH(D9,$L$7:$L$23,1)))/(INDEX($L$7:$L$23,MATCH(D9,$L$7:$L$23,1)+1)-INDEX($L$7:$L$23,MATCH(D9,$L$7:$L$23,1)))))</x:f>
        <x:v>2.3700833333333335</x:v>
      </x:c>
      <x:c r="I9" s="53" t="n">
        <x:f>H9-B9</x:f>
        <x:v>0.020083333333333453</x:v>
      </x:c>
      <x:c r="J9" s="57" t="n">
        <x:f>IF(B9=0,0,ABS(I9)/B9)</x:f>
        <x:v>0.008546099290780193</x:v>
      </x:c>
      <x:c r="K9" s="1"/>
      <x:c r="L9" s="44" t="n">
        <x:v>31</x:v>
      </x:c>
      <x:c r="M9" s="45" t="n">
        <x:v>0.45924999999999994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2" t="n">
        <x:v>3</x:v>
      </x:c>
      <x:c r="B10" s="53" t="n">
        <x:f>$B$3*A10/$E$3</x:f>
        <x:v>3.525</x:v>
      </x:c>
      <x:c r="C10" s="54" t="n">
        <x:f>IF(B10&lt;=MIN($M$7:$M$23),INDEX($L$7:$L$23,1),IF(B10&gt;=MAX($M$7:$M$23),INDEX($L$7:$L$23,ROWS($L$7:$L$23)),INDEX($L$7:$L$23,MATCH(B10,$M$7:$M$23,1))+(B10-INDEX($M$7:$M$23,MATCH(B10,$M$7:$M$23,1)))*(INDEX($L$7:$L$23,MATCH(B10,$M$7:$M$23,1)+1)-INDEX($L$7:$L$23,MATCH(B10,$M$7:$M$23,1)))/(INDEX($M$7:$M$23,MATCH(B10,$M$7:$M$23,1)+1)-INDEX($M$7:$M$23,MATCH(B10,$M$7:$M$23,1)))))</x:f>
        <x:v>104.0778825235678</x:v>
      </x:c>
      <x:c r="D10" s="55" t="n">
        <x:f>ROUND(C10,0)</x:f>
        <x:v>104</x:v>
      </x:c>
      <x:c r="E10" s="79" t="n">
        <x:f>0</x:f>
        <x:v>0</x:v>
      </x:c>
      <x:c r="F10" s="79" t="n">
        <x:f>0</x:f>
        <x:v>0</x:v>
      </x:c>
      <x:c r="G10" s="79" t="n">
        <x:f>D10</x:f>
        <x:v>104</x:v>
      </x:c>
      <x:c r="H10" s="53" t="n">
        <x:f>IF(D10&lt;=MIN($L$7:$L$23),INDEX($M$7:$M$23,1),IF(D10&gt;=MAX($L$7:$L$23),INDEX($M$7:$M$23,ROWS($L$7:$L$23)),INDEX($M$7:$M$23,MATCH(D10,$L$7:$L$23,1))+(D10-INDEX($L$7:$L$23,MATCH(D10,$L$7:$L$23,1)))*(INDEX($M$7:$M$23,MATCH(D10,$L$7:$L$23,1)+1)-INDEX($M$7:$M$23,MATCH(D10,$L$7:$L$23,1)))/(INDEX($L$7:$L$23,MATCH(D10,$L$7:$L$23,1)+1)-INDEX($L$7:$L$23,MATCH(D10,$L$7:$L$23,1)))))</x:f>
        <x:v>3.5194062500000003</x:v>
      </x:c>
      <x:c r="I10" s="53" t="n">
        <x:f>H10-B10</x:f>
        <x:v>-0.00559374999999962</x:v>
      </x:c>
      <x:c r="J10" s="57" t="n">
        <x:f>IF(B10=0,0,ABS(I10)/B10)</x:f>
        <x:v>0.0015868794326240057</x:v>
      </x:c>
      <x:c r="K10" s="1"/>
      <x:c r="L10" s="44" t="n">
        <x:v>47</x:v>
      </x:c>
      <x:c r="M10" s="45" t="n">
        <x:v>0.8331666666666666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2" t="n">
        <x:v>4</x:v>
      </x:c>
      <x:c r="B11" s="53" t="n">
        <x:f>$B$3*A11/$E$3</x:f>
        <x:v>4.7</x:v>
      </x:c>
      <x:c r="C11" s="54" t="n">
        <x:f>IF(B11&lt;=MIN($M$7:$M$23),INDEX($L$7:$L$23,1),IF(B11&gt;=MAX($M$7:$M$23),INDEX($L$7:$L$23,ROWS($L$7:$L$23)),INDEX($L$7:$L$23,MATCH(B11,$M$7:$M$23,1))+(B11-INDEX($M$7:$M$23,MATCH(B11,$M$7:$M$23,1)))*(INDEX($L$7:$L$23,MATCH(B11,$M$7:$M$23,1)+1)-INDEX($L$7:$L$23,MATCH(B11,$M$7:$M$23,1)))/(INDEX($M$7:$M$23,MATCH(B11,$M$7:$M$23,1)+1)-INDEX($M$7:$M$23,MATCH(B11,$M$7:$M$23,1)))))</x:f>
        <x:v>118.77907949790794</x:v>
      </x:c>
      <x:c r="D11" s="55" t="n">
        <x:f>ROUND(C11,0)</x:f>
        <x:v>119</x:v>
      </x:c>
      <x:c r="E11" s="79" t="n">
        <x:f>0</x:f>
        <x:v>0</x:v>
      </x:c>
      <x:c r="F11" s="79" t="n">
        <x:f>0</x:f>
        <x:v>0</x:v>
      </x:c>
      <x:c r="G11" s="79" t="n">
        <x:f>D11</x:f>
        <x:v>119</x:v>
      </x:c>
      <x:c r="H11" s="53" t="n">
        <x:f>IF(D11&lt;=MIN($L$7:$L$23),INDEX($M$7:$M$23,1),IF(D11&gt;=MAX($L$7:$L$23),INDEX($M$7:$M$23,ROWS($L$7:$L$23)),INDEX($M$7:$M$23,MATCH(D11,$L$7:$L$23,1))+(D11-INDEX($L$7:$L$23,MATCH(D11,$L$7:$L$23,1)))*(INDEX($M$7:$M$23,MATCH(D11,$L$7:$L$23,1)+1)-INDEX($M$7:$M$23,MATCH(D11,$L$7:$L$23,1)))/(INDEX($L$7:$L$23,MATCH(D11,$L$7:$L$23,1)+1)-INDEX($L$7:$L$23,MATCH(D11,$L$7:$L$23,1)))))</x:f>
        <x:v>4.719250000000001</x:v>
      </x:c>
      <x:c r="I11" s="53" t="n">
        <x:f>H11-B11</x:f>
        <x:v>0.019250000000000433</x:v>
      </x:c>
      <x:c r="J11" s="57" t="n">
        <x:f>IF(B11=0,0,ABS(I11)/B11)</x:f>
        <x:v>0.004095744680851156</x:v>
      </x:c>
      <x:c r="K11" s="1"/>
      <x:c r="L11" s="44" t="n">
        <x:v>63</x:v>
      </x:c>
      <x:c r="M11" s="45" t="n">
        <x:v>1.3375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2" t="n">
        <x:v>5</x:v>
      </x:c>
      <x:c r="B12" s="53" t="n">
        <x:f>$B$3*A12/$E$3</x:f>
        <x:v>5.875</x:v>
      </x:c>
      <x:c r="C12" s="54" t="n">
        <x:f>IF(B12&lt;=MIN($M$7:$M$23),INDEX($L$7:$L$23,1),IF(B12&gt;=MAX($M$7:$M$23),INDEX($L$7:$L$23,ROWS($L$7:$L$23)),INDEX($L$7:$L$23,MATCH(B12,$M$7:$M$23,1))+(B12-INDEX($M$7:$M$23,MATCH(B12,$M$7:$M$23,1)))*(INDEX($L$7:$L$23,MATCH(B12,$M$7:$M$23,1)+1)-INDEX($L$7:$L$23,MATCH(B12,$M$7:$M$23,1)))/(INDEX($M$7:$M$23,MATCH(B12,$M$7:$M$23,1)+1)-INDEX($M$7:$M$23,MATCH(B12,$M$7:$M$23,1)))))</x:f>
        <x:v>134.23496549457772</x:v>
      </x:c>
      <x:c r="D12" s="55" t="n">
        <x:f>ROUND(C12,0)</x:f>
        <x:v>134</x:v>
      </x:c>
      <x:c r="E12" s="79" t="n">
        <x:f>0</x:f>
        <x:v>0</x:v>
      </x:c>
      <x:c r="F12" s="79" t="n">
        <x:f>0</x:f>
        <x:v>0</x:v>
      </x:c>
      <x:c r="G12" s="79" t="n">
        <x:f>D12</x:f>
        <x:v>134</x:v>
      </x:c>
      <x:c r="H12" s="53" t="n">
        <x:f>IF(D12&lt;=MIN($L$7:$L$23),INDEX($M$7:$M$23,1),IF(D12&gt;=MAX($L$7:$L$23),INDEX($M$7:$M$23,ROWS($L$7:$L$23)),INDEX($M$7:$M$23,MATCH(D12,$L$7:$L$23,1))+(D12-INDEX($L$7:$L$23,MATCH(D12,$L$7:$L$23,1)))*(INDEX($M$7:$M$23,MATCH(D12,$L$7:$L$23,1)+1)-INDEX($M$7:$M$23,MATCH(D12,$L$7:$L$23,1)))/(INDEX($L$7:$L$23,MATCH(D12,$L$7:$L$23,1)+1)-INDEX($L$7:$L$23,MATCH(D12,$L$7:$L$23,1)))))</x:f>
        <x:v>5.860104166666667</x:v>
      </x:c>
      <x:c r="I12" s="53" t="n">
        <x:f>H12-B12</x:f>
        <x:v>-0.014895833333333108</x:v>
      </x:c>
      <x:c r="J12" s="57" t="n">
        <x:f>IF(B12=0,0,ABS(I12)/B12)</x:f>
        <x:v>0.002535460992907763</x:v>
      </x:c>
      <x:c r="K12" s="1"/>
      <x:c r="L12" s="44" t="n">
        <x:v>79</x:v>
      </x:c>
      <x:c r="M12" s="45" t="n">
        <x:v>2.0683333333333334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 t="n">
        <x:v>6</x:v>
      </x:c>
      <x:c r="B13" s="53" t="n">
        <x:f>$B$3*A13/$E$3</x:f>
        <x:v>7.05</x:v>
      </x:c>
      <x:c r="C13" s="54" t="n">
        <x:f>IF(B13&lt;=MIN($M$7:$M$23),INDEX($L$7:$L$23,1),IF(B13&gt;=MAX($M$7:$M$23),INDEX($L$7:$L$23,ROWS($L$7:$L$23)),INDEX($L$7:$L$23,MATCH(B13,$M$7:$M$23,1))+(B13-INDEX($M$7:$M$23,MATCH(B13,$M$7:$M$23,1)))*(INDEX($L$7:$L$23,MATCH(B13,$M$7:$M$23,1)+1)-INDEX($L$7:$L$23,MATCH(B13,$M$7:$M$23,1)))/(INDEX($M$7:$M$23,MATCH(B13,$M$7:$M$23,1)+1)-INDEX($M$7:$M$23,MATCH(B13,$M$7:$M$23,1)))))</x:f>
        <x:v>148.06008510638299</x:v>
      </x:c>
      <x:c r="D13" s="55" t="n">
        <x:f>ROUND(C13,0)</x:f>
        <x:v>148</x:v>
      </x:c>
      <x:c r="E13" s="79" t="n">
        <x:f>0</x:f>
        <x:v>0</x:v>
      </x:c>
      <x:c r="F13" s="79" t="n">
        <x:f>0</x:f>
        <x:v>0</x:v>
      </x:c>
      <x:c r="G13" s="79" t="n">
        <x:f>D13</x:f>
        <x:v>148</x:v>
      </x:c>
      <x:c r="H13" s="53" t="n">
        <x:f>IF(D13&lt;=MIN($L$7:$L$23),INDEX($M$7:$M$23,1),IF(D13&gt;=MAX($L$7:$L$23),INDEX($M$7:$M$23,ROWS($L$7:$L$23)),INDEX($M$7:$M$23,MATCH(D13,$L$7:$L$23,1))+(D13-INDEX($L$7:$L$23,MATCH(D13,$L$7:$L$23,1)))*(INDEX($M$7:$M$23,MATCH(D13,$L$7:$L$23,1)+1)-INDEX($M$7:$M$23,MATCH(D13,$L$7:$L$23,1)))/(INDEX($L$7:$L$23,MATCH(D13,$L$7:$L$23,1)+1)-INDEX($L$7:$L$23,MATCH(D13,$L$7:$L$23,1)))))</x:f>
        <x:v>7.042645833333333</x:v>
      </x:c>
      <x:c r="I13" s="53" t="n">
        <x:f>H13-B13</x:f>
        <x:v>-0.007354166666666551</x:v>
      </x:c>
      <x:c r="J13" s="57" t="n">
        <x:f>IF(B13=0,0,ABS(I13)/B13)</x:f>
        <x:v>0.0010431442080378085</x:v>
      </x:c>
      <x:c r="K13" s="1"/>
      <x:c r="L13" s="44" t="n">
        <x:v>95</x:v>
      </x:c>
      <x:c r="M13" s="45" t="n">
        <x:v>2.873</x:v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2" t="n">
        <x:v>7</x:v>
      </x:c>
      <x:c r="B14" s="53" t="n">
        <x:f>$B$3*A14/$E$3</x:f>
        <x:v>8.225</x:v>
      </x:c>
      <x:c r="C14" s="54" t="n">
        <x:f>IF(B14&lt;=MIN($M$7:$M$23),INDEX($L$7:$L$23,1),IF(B14&gt;=MAX($M$7:$M$23),INDEX($L$7:$L$23,ROWS($L$7:$L$23)),INDEX($L$7:$L$23,MATCH(B14,$M$7:$M$23,1))+(B14-INDEX($M$7:$M$23,MATCH(B14,$M$7:$M$23,1)))*(INDEX($L$7:$L$23,MATCH(B14,$M$7:$M$23,1)+1)-INDEX($L$7:$L$23,MATCH(B14,$M$7:$M$23,1)))/(INDEX($M$7:$M$23,MATCH(B14,$M$7:$M$23,1)+1)-INDEX($M$7:$M$23,MATCH(B14,$M$7:$M$23,1)))))</x:f>
        <x:v>157.66008510638298</x:v>
      </x:c>
      <x:c r="D14" s="55" t="n">
        <x:f>ROUND(C14,0)</x:f>
        <x:v>158</x:v>
      </x:c>
      <x:c r="E14" s="79" t="n">
        <x:f>0</x:f>
        <x:v>0</x:v>
      </x:c>
      <x:c r="F14" s="79" t="n">
        <x:f>0</x:f>
        <x:v>0</x:v>
      </x:c>
      <x:c r="G14" s="79" t="n">
        <x:f>D14</x:f>
        <x:v>158</x:v>
      </x:c>
      <x:c r="H14" s="53" t="n">
        <x:f>IF(D14&lt;=MIN($L$7:$L$23),INDEX($M$7:$M$23,1),IF(D14&gt;=MAX($L$7:$L$23),INDEX($M$7:$M$23,ROWS($L$7:$L$23)),INDEX($M$7:$M$23,MATCH(D14,$L$7:$L$23,1))+(D14-INDEX($L$7:$L$23,MATCH(D14,$L$7:$L$23,1)))*(INDEX($M$7:$M$23,MATCH(D14,$L$7:$L$23,1)+1)-INDEX($M$7:$M$23,MATCH(D14,$L$7:$L$23,1)))/(INDEX($L$7:$L$23,MATCH(D14,$L$7:$L$23,1)+1)-INDEX($L$7:$L$23,MATCH(D14,$L$7:$L$23,1)))))</x:f>
        <x:v>8.266604166666665</x:v>
      </x:c>
      <x:c r="I14" s="53" t="n">
        <x:f>H14-B14</x:f>
        <x:v>0.041604166666665776</x:v>
      </x:c>
      <x:c r="J14" s="57" t="n">
        <x:f>IF(B14=0,0,ABS(I14)/B14)</x:f>
        <x:v>0.00505825734549128</x:v>
      </x:c>
      <x:c r="K14" s="1"/>
      <x:c r="L14" s="44" t="n">
        <x:v>111</x:v>
      </x:c>
      <x:c r="M14" s="45" t="n">
        <x:v>4.022166666666667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2" t="n">
        <x:v>8</x:v>
      </x:c>
      <x:c r="B15" s="53" t="n">
        <x:f>$B$3*A15/$E$3</x:f>
        <x:v>9.4</x:v>
      </x:c>
      <x:c r="C15" s="54" t="n">
        <x:f>IF(B15&lt;=MIN($M$7:$M$23),INDEX($L$7:$L$23,1),IF(B15&gt;=MAX($M$7:$M$23),INDEX($L$7:$L$23,ROWS($L$7:$L$23)),INDEX($L$7:$L$23,MATCH(B15,$M$7:$M$23,1))+(B15-INDEX($M$7:$M$23,MATCH(B15,$M$7:$M$23,1)))*(INDEX($L$7:$L$23,MATCH(B15,$M$7:$M$23,1)+1)-INDEX($L$7:$L$23,MATCH(B15,$M$7:$M$23,1)))/(INDEX($M$7:$M$23,MATCH(B15,$M$7:$M$23,1)+1)-INDEX($M$7:$M$23,MATCH(B15,$M$7:$M$23,1)))))</x:f>
        <x:v>168.96059113300493</x:v>
      </x:c>
      <x:c r="D15" s="55" t="n">
        <x:f>ROUND(C15,0)</x:f>
        <x:v>169</x:v>
      </x:c>
      <x:c r="E15" s="79" t="n">
        <x:f>0</x:f>
        <x:v>0</x:v>
      </x:c>
      <x:c r="F15" s="79" t="n">
        <x:f>0</x:f>
        <x:v>0</x:v>
      </x:c>
      <x:c r="G15" s="79" t="n">
        <x:f>D15</x:f>
        <x:v>169</x:v>
      </x:c>
      <x:c r="H15" s="53" t="n">
        <x:f>IF(D15&lt;=MIN($L$7:$L$23),INDEX($M$7:$M$23,1),IF(D15&gt;=MAX($L$7:$L$23),INDEX($M$7:$M$23,ROWS($L$7:$L$23)),INDEX($M$7:$M$23,MATCH(D15,$L$7:$L$23,1))+(D15-INDEX($L$7:$L$23,MATCH(D15,$L$7:$L$23,1)))*(INDEX($M$7:$M$23,MATCH(D15,$L$7:$L$23,1)+1)-INDEX($M$7:$M$23,MATCH(D15,$L$7:$L$23,1)))/(INDEX($L$7:$L$23,MATCH(D15,$L$7:$L$23,1)+1)-INDEX($L$7:$L$23,MATCH(D15,$L$7:$L$23,1)))))</x:f>
        <x:v>9.404</x:v>
      </x:c>
      <x:c r="I15" s="53" t="n">
        <x:f>H15-B15</x:f>
        <x:v>0.0039999999999995595</x:v>
      </x:c>
      <x:c r="J15" s="57" t="n">
        <x:f>IF(B15=0,0,ABS(I15)/B15)</x:f>
        <x:v>0.0004255319148935701</x:v>
      </x:c>
      <x:c r="K15" s="1"/>
      <x:c r="L15" s="44" t="n">
        <x:v>127</x:v>
      </x:c>
      <x:c r="M15" s="45" t="n">
        <x:v>5.416333333333334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2" t="n">
        <x:v>9</x:v>
      </x:c>
      <x:c r="B16" s="53" t="n">
        <x:f>$B$3*A16/$E$3</x:f>
        <x:v>10.575</x:v>
      </x:c>
      <x:c r="C16" s="54" t="n">
        <x:f>IF(B16&lt;=MIN($M$7:$M$23),INDEX($L$7:$L$23,1),IF(B16&gt;=MAX($M$7:$M$23),INDEX($L$7:$L$23,ROWS($L$7:$L$23)),INDEX($L$7:$L$23,MATCH(B16,$M$7:$M$23,1))+(B16-INDEX($M$7:$M$23,MATCH(B16,$M$7:$M$23,1)))*(INDEX($L$7:$L$23,MATCH(B16,$M$7:$M$23,1)+1)-INDEX($L$7:$L$23,MATCH(B16,$M$7:$M$23,1)))/(INDEX($M$7:$M$23,MATCH(B16,$M$7:$M$23,1)+1)-INDEX($M$7:$M$23,MATCH(B16,$M$7:$M$23,1)))))</x:f>
        <x:v>180.63055729492797</x:v>
      </x:c>
      <x:c r="D16" s="55" t="n">
        <x:f>ROUND(C16,0)</x:f>
        <x:v>181</x:v>
      </x:c>
      <x:c r="E16" s="79" t="n">
        <x:f>0</x:f>
        <x:v>0</x:v>
      </x:c>
      <x:c r="F16" s="79" t="n">
        <x:f>0</x:f>
        <x:v>0</x:v>
      </x:c>
      <x:c r="G16" s="79" t="n">
        <x:f>D16</x:f>
        <x:v>181</x:v>
      </x:c>
      <x:c r="H16" s="53" t="n">
        <x:f>IF(D16&lt;=MIN($L$7:$L$23),INDEX($M$7:$M$23,1),IF(D16&gt;=MAX($L$7:$L$23),INDEX($M$7:$M$23,ROWS($L$7:$L$23)),INDEX($M$7:$M$23,MATCH(D16,$L$7:$L$23,1))+(D16-INDEX($L$7:$L$23,MATCH(D16,$L$7:$L$23,1)))*(INDEX($M$7:$M$23,MATCH(D16,$L$7:$L$23,1)+1)-INDEX($M$7:$M$23,MATCH(D16,$L$7:$L$23,1)))/(INDEX($L$7:$L$23,MATCH(D16,$L$7:$L$23,1)+1)-INDEX($L$7:$L$23,MATCH(D16,$L$7:$L$23,1)))))</x:f>
        <x:v>10.611875000000001</x:v>
      </x:c>
      <x:c r="I16" s="53" t="n">
        <x:f>H16-B16</x:f>
        <x:v>0.03687500000000199</x:v>
      </x:c>
      <x:c r="J16" s="57" t="n">
        <x:f>IF(B16=0,0,ABS(I16)/B16)</x:f>
        <x:v>0.0034869976359339946</x:v>
      </x:c>
      <x:c r="K16" s="1"/>
      <x:c r="L16" s="44" t="n">
        <x:v>143</x:v>
      </x:c>
      <x:c r="M16" s="45" t="n">
        <x:v>6.430666666666666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2" t="n">
        <x:v>10</x:v>
      </x:c>
      <x:c r="B17" s="53" t="n">
        <x:f>$B$3*A17/$E$3</x:f>
        <x:v>11.75</x:v>
      </x:c>
      <x:c r="C17" s="54" t="n">
        <x:f>IF(B17&lt;=MIN($M$7:$M$23),INDEX($L$7:$L$23,1),IF(B17&gt;=MAX($M$7:$M$23),INDEX($L$7:$L$23,ROWS($L$7:$L$23)),INDEX($L$7:$L$23,MATCH(B17,$M$7:$M$23,1))+(B17-INDEX($M$7:$M$23,MATCH(B17,$M$7:$M$23,1)))*(INDEX($L$7:$L$23,MATCH(B17,$M$7:$M$23,1)+1)-INDEX($L$7:$L$23,MATCH(B17,$M$7:$M$23,1)))/(INDEX($M$7:$M$23,MATCH(B17,$M$7:$M$23,1)+1)-INDEX($M$7:$M$23,MATCH(B17,$M$7:$M$23,1)))))</x:f>
        <x:v>191.82809611829944</x:v>
      </x:c>
      <x:c r="D17" s="55" t="n">
        <x:f>ROUND(C17,0)</x:f>
        <x:v>192</x:v>
      </x:c>
      <x:c r="E17" s="79" t="n">
        <x:f>0</x:f>
        <x:v>0</x:v>
      </x:c>
      <x:c r="F17" s="79" t="n">
        <x:f>0</x:f>
        <x:v>0</x:v>
      </x:c>
      <x:c r="G17" s="79" t="n">
        <x:f>D17</x:f>
        <x:v>192</x:v>
      </x:c>
      <x:c r="H17" s="53" t="n">
        <x:f>IF(D17&lt;=MIN($L$7:$L$23),INDEX($M$7:$M$23,1),IF(D17&gt;=MAX($L$7:$L$23),INDEX($M$7:$M$23,ROWS($L$7:$L$23)),INDEX($M$7:$M$23,MATCH(D17,$L$7:$L$23,1))+(D17-INDEX($L$7:$L$23,MATCH(D17,$L$7:$L$23,1)))*(INDEX($M$7:$M$23,MATCH(D17,$L$7:$L$23,1)+1)-INDEX($M$7:$M$23,MATCH(D17,$L$7:$L$23,1)))/(INDEX($L$7:$L$23,MATCH(D17,$L$7:$L$23,1)+1)-INDEX($L$7:$L$23,MATCH(D17,$L$7:$L$23,1)))))</x:f>
        <x:v>11.7790625</x:v>
      </x:c>
      <x:c r="I17" s="53" t="n">
        <x:f>H17-B17</x:f>
        <x:v>0.029062500000000213</x:v>
      </x:c>
      <x:c r="J17" s="57" t="n">
        <x:f>IF(B17=0,0,ABS(I17)/B17)</x:f>
        <x:v>0.002473404255319167</x:v>
      </x:c>
      <x:c r="K17" s="1"/>
      <x:c r="L17" s="44" t="n">
        <x:v>159</x:v>
      </x:c>
      <x:c r="M17" s="45" t="n">
        <x:v>8.389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2" t="n">
        <x:v>11</x:v>
      </x:c>
      <x:c r="B18" s="53" t="n">
        <x:f>$B$3*A18/$E$3</x:f>
        <x:v>12.925</x:v>
      </x:c>
      <x:c r="C18" s="54" t="n">
        <x:f>IF(B18&lt;=MIN($M$7:$M$23),INDEX($L$7:$L$23,1),IF(B18&gt;=MAX($M$7:$M$23),INDEX($L$7:$L$23,ROWS($L$7:$L$23)),INDEX($L$7:$L$23,MATCH(B18,$M$7:$M$23,1))+(B18-INDEX($M$7:$M$23,MATCH(B18,$M$7:$M$23,1)))*(INDEX($L$7:$L$23,MATCH(B18,$M$7:$M$23,1)+1)-INDEX($L$7:$L$23,MATCH(B18,$M$7:$M$23,1)))/(INDEX($M$7:$M$23,MATCH(B18,$M$7:$M$23,1)+1)-INDEX($M$7:$M$23,MATCH(B18,$M$7:$M$23,1)))))</x:f>
        <x:v>198.77818853974122</x:v>
      </x:c>
      <x:c r="D18" s="55" t="n">
        <x:f>ROUND(C18,0)</x:f>
        <x:v>199</x:v>
      </x:c>
      <x:c r="E18" s="79" t="n">
        <x:f>0</x:f>
        <x:v>0</x:v>
      </x:c>
      <x:c r="F18" s="79" t="n">
        <x:f>0</x:f>
        <x:v>0</x:v>
      </x:c>
      <x:c r="G18" s="79" t="n">
        <x:f>D18</x:f>
        <x:v>199</x:v>
      </x:c>
      <x:c r="H18" s="53" t="n">
        <x:f>IF(D18&lt;=MIN($L$7:$L$23),INDEX($M$7:$M$23,1),IF(D18&gt;=MAX($L$7:$L$23),INDEX($M$7:$M$23,ROWS($L$7:$L$23)),INDEX($M$7:$M$23,MATCH(D18,$L$7:$L$23,1))+(D18-INDEX($L$7:$L$23,MATCH(D18,$L$7:$L$23,1)))*(INDEX($M$7:$M$23,MATCH(D18,$L$7:$L$23,1)+1)-INDEX($M$7:$M$23,MATCH(D18,$L$7:$L$23,1)))/(INDEX($L$7:$L$23,MATCH(D18,$L$7:$L$23,1)+1)-INDEX($L$7:$L$23,MATCH(D18,$L$7:$L$23,1)))))</x:f>
        <x:v>12.9625</x:v>
      </x:c>
      <x:c r="I18" s="53" t="n">
        <x:f>H18-B18</x:f>
        <x:v>0.037499999999999645</x:v>
      </x:c>
      <x:c r="J18" s="57" t="n">
        <x:f>IF(B18=0,0,ABS(I18)/B18)</x:f>
        <x:v>0.002901353965183725</x:v>
      </x:c>
      <x:c r="K18" s="1"/>
      <x:c r="L18" s="44" t="n">
        <x:v>175</x:v>
      </x:c>
      <x:c r="M18" s="45" t="n">
        <x:v>10.013000000000002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2" t="n">
        <x:v>12</x:v>
      </x:c>
      <x:c r="B19" s="53" t="n">
        <x:f>$B$3*A19/$E$3</x:f>
        <x:v>14.1</x:v>
      </x:c>
      <x:c r="C19" s="54" t="n">
        <x:f>IF(B19&lt;=MIN($M$7:$M$23),INDEX($L$7:$L$23,1),IF(B19&gt;=MAX($M$7:$M$23),INDEX($L$7:$L$23,ROWS($L$7:$L$23)),INDEX($L$7:$L$23,MATCH(B19,$M$7:$M$23,1))+(B19-INDEX($M$7:$M$23,MATCH(B19,$M$7:$M$23,1)))*(INDEX($L$7:$L$23,MATCH(B19,$M$7:$M$23,1)+1)-INDEX($L$7:$L$23,MATCH(B19,$M$7:$M$23,1)))/(INDEX($M$7:$M$23,MATCH(B19,$M$7:$M$23,1)+1)-INDEX($M$7:$M$23,MATCH(B19,$M$7:$M$23,1)))))</x:f>
        <x:v>205.72828096118297</x:v>
      </x:c>
      <x:c r="D19" s="55" t="n">
        <x:f>ROUND(C19,0)</x:f>
        <x:v>206</x:v>
      </x:c>
      <x:c r="E19" s="79" t="n">
        <x:f>0</x:f>
        <x:v>0</x:v>
      </x:c>
      <x:c r="F19" s="79" t="n">
        <x:f>0</x:f>
        <x:v>0</x:v>
      </x:c>
      <x:c r="G19" s="79" t="n">
        <x:f>D19</x:f>
        <x:v>206</x:v>
      </x:c>
      <x:c r="H19" s="53" t="n">
        <x:f>IF(D19&lt;=MIN($L$7:$L$23),INDEX($M$7:$M$23,1),IF(D19&gt;=MAX($L$7:$L$23),INDEX($M$7:$M$23,ROWS($L$7:$L$23)),INDEX($M$7:$M$23,MATCH(D19,$L$7:$L$23,1))+(D19-INDEX($L$7:$L$23,MATCH(D19,$L$7:$L$23,1)))*(INDEX($M$7:$M$23,MATCH(D19,$L$7:$L$23,1)+1)-INDEX($M$7:$M$23,MATCH(D19,$L$7:$L$23,1)))/(INDEX($L$7:$L$23,MATCH(D19,$L$7:$L$23,1)+1)-INDEX($L$7:$L$23,MATCH(D19,$L$7:$L$23,1)))))</x:f>
        <x:v>14.145937500000002</x:v>
      </x:c>
      <x:c r="I19" s="53" t="n">
        <x:f>H19-B19</x:f>
        <x:v>0.04593750000000263</x:v>
      </x:c>
      <x:c r="J19" s="57" t="n">
        <x:f>IF(B19=0,0,ABS(I19)/B19)</x:f>
        <x:v>0.0032579787234044417</x:v>
      </x:c>
      <x:c r="K19" s="1"/>
      <x:c r="L19" s="44" t="n">
        <x:v>191</x:v>
      </x:c>
      <x:c r="M19" s="45" t="n">
        <x:v>11.61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2" t="n">
        <x:v>13</x:v>
      </x:c>
      <x:c r="B20" s="53" t="n">
        <x:f>$B$3*A20/$E$3</x:f>
        <x:v>15.275</x:v>
      </x:c>
      <x:c r="C20" s="54" t="n">
        <x:f>IF(B20&lt;=MIN($M$7:$M$23),INDEX($L$7:$L$23,1),IF(B20&gt;=MAX($M$7:$M$23),INDEX($L$7:$L$23,ROWS($L$7:$L$23)),INDEX($L$7:$L$23,MATCH(B20,$M$7:$M$23,1))+(B20-INDEX($M$7:$M$23,MATCH(B20,$M$7:$M$23,1)))*(INDEX($L$7:$L$23,MATCH(B20,$M$7:$M$23,1)+1)-INDEX($L$7:$L$23,MATCH(B20,$M$7:$M$23,1)))/(INDEX($M$7:$M$23,MATCH(B20,$M$7:$M$23,1)+1)-INDEX($M$7:$M$23,MATCH(B20,$M$7:$M$23,1)))))</x:f>
        <x:v>212.87755102040816</x:v>
      </x:c>
      <x:c r="D20" s="55" t="n">
        <x:f>ROUND(C20,0)</x:f>
        <x:v>213</x:v>
      </x:c>
      <x:c r="E20" s="79" t="n">
        <x:f>0</x:f>
        <x:v>0</x:v>
      </x:c>
      <x:c r="F20" s="79" t="n">
        <x:f>0</x:f>
        <x:v>0</x:v>
      </x:c>
      <x:c r="G20" s="79" t="n">
        <x:f>D20</x:f>
        <x:v>213</x:v>
      </x:c>
      <x:c r="H20" s="53" t="n">
        <x:f>IF(D20&lt;=MIN($L$7:$L$23),INDEX($M$7:$M$23,1),IF(D20&gt;=MAX($L$7:$L$23),INDEX($M$7:$M$23,ROWS($L$7:$L$23)),INDEX($M$7:$M$23,MATCH(D20,$L$7:$L$23,1))+(D20-INDEX($L$7:$L$23,MATCH(D20,$L$7:$L$23,1)))*(INDEX($M$7:$M$23,MATCH(D20,$L$7:$L$23,1)+1)-INDEX($M$7:$M$23,MATCH(D20,$L$7:$L$23,1)))/(INDEX($L$7:$L$23,MATCH(D20,$L$7:$L$23,1)+1)-INDEX($L$7:$L$23,MATCH(D20,$L$7:$L$23,1)))))</x:f>
        <x:v>15.295000000000002</x:v>
      </x:c>
      <x:c r="I20" s="53" t="n">
        <x:f>H20-B20</x:f>
        <x:v>0.02000000000000135</x:v>
      </x:c>
      <x:c r="J20" s="57" t="n">
        <x:f>IF(B20=0,0,ABS(I20)/B20)</x:f>
        <x:v>0.0013093289689035253</x:v>
      </x:c>
      <x:c r="K20" s="1"/>
      <x:c r="L20" s="44" t="n">
        <x:v>207</x:v>
      </x:c>
      <x:c r="M20" s="45" t="n">
        <x:v>14.315000000000001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2" t="n">
        <x:v>14</x:v>
      </x:c>
      <x:c r="B21" s="53" t="n">
        <x:f>$B$3*A21/$E$3</x:f>
        <x:v>16.45</x:v>
      </x:c>
      <x:c r="C21" s="54" t="n">
        <x:f>IF(B21&lt;=MIN($M$7:$M$23),INDEX($L$7:$L$23,1),IF(B21&gt;=MAX($M$7:$M$23),INDEX($L$7:$L$23,ROWS($L$7:$L$23)),INDEX($L$7:$L$23,MATCH(B21,$M$7:$M$23,1))+(B21-INDEX($M$7:$M$23,MATCH(B21,$M$7:$M$23,1)))*(INDEX($L$7:$L$23,MATCH(B21,$M$7:$M$23,1)+1)-INDEX($L$7:$L$23,MATCH(B21,$M$7:$M$23,1)))/(INDEX($M$7:$M$23,MATCH(B21,$M$7:$M$23,1)+1)-INDEX($M$7:$M$23,MATCH(B21,$M$7:$M$23,1)))))</x:f>
        <x:v>220.07142857142856</x:v>
      </x:c>
      <x:c r="D21" s="55" t="n">
        <x:f>ROUND(C21,0)</x:f>
        <x:v>220</x:v>
      </x:c>
      <x:c r="E21" s="79" t="n">
        <x:f>0</x:f>
        <x:v>0</x:v>
      </x:c>
      <x:c r="F21" s="79" t="n">
        <x:f>0</x:f>
        <x:v>0</x:v>
      </x:c>
      <x:c r="G21" s="79" t="n">
        <x:f>D21</x:f>
        <x:v>220</x:v>
      </x:c>
      <x:c r="H21" s="53" t="n">
        <x:f>IF(D21&lt;=MIN($L$7:$L$23),INDEX($M$7:$M$23,1),IF(D21&gt;=MAX($L$7:$L$23),INDEX($M$7:$M$23,ROWS($L$7:$L$23)),INDEX($M$7:$M$23,MATCH(D21,$L$7:$L$23,1))+(D21-INDEX($L$7:$L$23,MATCH(D21,$L$7:$L$23,1)))*(INDEX($M$7:$M$23,MATCH(D21,$L$7:$L$23,1)+1)-INDEX($M$7:$M$23,MATCH(D21,$L$7:$L$23,1)))/(INDEX($L$7:$L$23,MATCH(D21,$L$7:$L$23,1)+1)-INDEX($L$7:$L$23,MATCH(D21,$L$7:$L$23,1)))))</x:f>
        <x:v>16.438333333333333</x:v>
      </x:c>
      <x:c r="I21" s="53" t="n">
        <x:f>H21-B21</x:f>
        <x:v>-0.011666666666666714</x:v>
      </x:c>
      <x:c r="J21" s="57" t="n">
        <x:f>IF(B21=0,0,ABS(I21)/B21)</x:f>
        <x:v>0.0007092198581560312</x:v>
      </x:c>
      <x:c r="K21" s="1"/>
      <x:c r="L21" s="44" t="n">
        <x:v>223</x:v>
      </x:c>
      <x:c r="M21" s="45" t="n">
        <x:v>16.928333333333335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2" t="n">
        <x:v>15</x:v>
      </x:c>
      <x:c r="B22" s="53" t="n">
        <x:f>$B$3*A22/$E$3</x:f>
        <x:v>17.625</x:v>
      </x:c>
      <x:c r="C22" s="54" t="n">
        <x:f>IF(B22&lt;=MIN($M$7:$M$23),INDEX($L$7:$L$23,1),IF(B22&gt;=MAX($M$7:$M$23),INDEX($L$7:$L$23,ROWS($L$7:$L$23)),INDEX($L$7:$L$23,MATCH(B22,$M$7:$M$23,1))+(B22-INDEX($M$7:$M$23,MATCH(B22,$M$7:$M$23,1)))*(INDEX($L$7:$L$23,MATCH(B22,$M$7:$M$23,1)+1)-INDEX($L$7:$L$23,MATCH(B22,$M$7:$M$23,1)))/(INDEX($M$7:$M$23,MATCH(B22,$M$7:$M$23,1)+1)-INDEX($M$7:$M$23,MATCH(B22,$M$7:$M$23,1)))))</x:f>
        <x:v>228.95017793594306</x:v>
      </x:c>
      <x:c r="D22" s="55" t="n">
        <x:f>ROUND(C22,0)</x:f>
        <x:v>229</x:v>
      </x:c>
      <x:c r="E22" s="79" t="n">
        <x:f>0</x:f>
        <x:v>0</x:v>
      </x:c>
      <x:c r="F22" s="79" t="n">
        <x:f>0</x:f>
        <x:v>0</x:v>
      </x:c>
      <x:c r="G22" s="79" t="n">
        <x:f>D22</x:f>
        <x:v>229</x:v>
      </x:c>
      <x:c r="H22" s="53" t="n">
        <x:f>IF(D22&lt;=MIN($L$7:$L$23),INDEX($M$7:$M$23,1),IF(D22&gt;=MAX($L$7:$L$23),INDEX($M$7:$M$23,ROWS($L$7:$L$23)),INDEX($M$7:$M$23,MATCH(D22,$L$7:$L$23,1))+(D22-INDEX($L$7:$L$23,MATCH(D22,$L$7:$L$23,1)))*(INDEX($M$7:$M$23,MATCH(D22,$L$7:$L$23,1)+1)-INDEX($M$7:$M$23,MATCH(D22,$L$7:$L$23,1)))/(INDEX($L$7:$L$23,MATCH(D22,$L$7:$L$23,1)+1)-INDEX($L$7:$L$23,MATCH(D22,$L$7:$L$23,1)))))</x:f>
        <x:v>17.630833333333335</x:v>
      </x:c>
      <x:c r="I22" s="53" t="n">
        <x:f>H22-B22</x:f>
        <x:v>0.005833333333335133</x:v>
      </x:c>
      <x:c r="J22" s="57" t="n">
        <x:f>IF(B22=0,0,ABS(I22)/B22)</x:f>
        <x:v>0.000330969267139582</x:v>
      </x:c>
      <x:c r="K22" s="1"/>
      <x:c r="L22" s="44" t="n">
        <x:v>239</x:v>
      </x:c>
      <x:c r="M22" s="45" t="n">
        <x:v>18.801666666666666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2" t="n">
        <x:v>16</x:v>
      </x:c>
      <x:c r="B23" s="53" t="n">
        <x:f>$B$3*A23/$E$3</x:f>
        <x:v>18.8</x:v>
      </x:c>
      <x:c r="C23" s="54" t="n">
        <x:f>IF(B23&lt;=MIN($M$7:$M$23),INDEX($L$7:$L$23,1),IF(B23&gt;=MAX($M$7:$M$23),INDEX($L$7:$L$23,ROWS($L$7:$L$23)),INDEX($L$7:$L$23,MATCH(B23,$M$7:$M$23,1))+(B23-INDEX($M$7:$M$23,MATCH(B23,$M$7:$M$23,1)))*(INDEX($L$7:$L$23,MATCH(B23,$M$7:$M$23,1)+1)-INDEX($L$7:$L$23,MATCH(B23,$M$7:$M$23,1)))/(INDEX($M$7:$M$23,MATCH(B23,$M$7:$M$23,1)+1)-INDEX($M$7:$M$23,MATCH(B23,$M$7:$M$23,1)))))</x:f>
        <x:v>238.98576512455517</x:v>
      </x:c>
      <x:c r="D23" s="55" t="n">
        <x:f>ROUND(C23,0)</x:f>
        <x:v>239</x:v>
      </x:c>
      <x:c r="E23" s="79" t="n">
        <x:f>0</x:f>
        <x:v>0</x:v>
      </x:c>
      <x:c r="F23" s="79" t="n">
        <x:f>0</x:f>
        <x:v>0</x:v>
      </x:c>
      <x:c r="G23" s="79" t="n">
        <x:f>D23</x:f>
        <x:v>239</x:v>
      </x:c>
      <x:c r="H23" s="53" t="n">
        <x:f>IF(D23&lt;=MIN($L$7:$L$23),INDEX($M$7:$M$23,1),IF(D23&gt;=MAX($L$7:$L$23),INDEX($M$7:$M$23,ROWS($L$7:$L$23)),INDEX($M$7:$M$23,MATCH(D23,$L$7:$L$23,1))+(D23-INDEX($L$7:$L$23,MATCH(D23,$L$7:$L$23,1)))*(INDEX($M$7:$M$23,MATCH(D23,$L$7:$L$23,1)+1)-INDEX($M$7:$M$23,MATCH(D23,$L$7:$L$23,1)))/(INDEX($L$7:$L$23,MATCH(D23,$L$7:$L$23,1)+1)-INDEX($L$7:$L$23,MATCH(D23,$L$7:$L$23,1)))))</x:f>
        <x:v>18.801666666666666</x:v>
      </x:c>
      <x:c r="I23" s="53" t="n">
        <x:f>H23-B23</x:f>
        <x:v>0.0016666666666651508</x:v>
      </x:c>
      <x:c r="J23" s="57" t="n">
        <x:f>IF(B23=0,0,ABS(I23)/B23)</x:f>
        <x:v>0.00008865248226942291</x:v>
      </x:c>
      <x:c r="K23" s="1"/>
      <x:c r="L23" s="44" t="n">
        <x:v>255</x:v>
      </x:c>
      <x:c r="M23" s="45" t="n">
        <x:v>23.5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2" t="n">
        <x:v>17</x:v>
      </x:c>
      <x:c r="B24" s="53" t="n">
        <x:f>$B$3*A24/$E$3</x:f>
        <x:v>19.975</x:v>
      </x:c>
      <x:c r="C24" s="54" t="n">
        <x:f>IF(B24&lt;=MIN($M$7:$M$23),INDEX($L$7:$L$23,1),IF(B24&gt;=MAX($M$7:$M$23),INDEX($L$7:$L$23,ROWS($L$7:$L$23)),INDEX($L$7:$L$23,MATCH(B24,$M$7:$M$23,1))+(B24-INDEX($M$7:$M$23,MATCH(B24,$M$7:$M$23,1)))*(INDEX($L$7:$L$23,MATCH(B24,$M$7:$M$23,1)+1)-INDEX($L$7:$L$23,MATCH(B24,$M$7:$M$23,1)))/(INDEX($M$7:$M$23,MATCH(B24,$M$7:$M$23,1)+1)-INDEX($M$7:$M$23,MATCH(B24,$M$7:$M$23,1)))))</x:f>
        <x:v>242.99574317133735</x:v>
      </x:c>
      <x:c r="D24" s="55" t="n">
        <x:f>ROUND(C24,0)</x:f>
        <x:v>243</x:v>
      </x:c>
      <x:c r="E24" s="79" t="n">
        <x:f>0</x:f>
        <x:v>0</x:v>
      </x:c>
      <x:c r="F24" s="79" t="n">
        <x:f>0</x:f>
        <x:v>0</x:v>
      </x:c>
      <x:c r="G24" s="79" t="n">
        <x:f>D24</x:f>
        <x:v>243</x:v>
      </x:c>
      <x:c r="H24" s="53" t="n">
        <x:f>IF(D24&lt;=MIN($L$7:$L$23),INDEX($M$7:$M$23,1),IF(D24&gt;=MAX($L$7:$L$23),INDEX($M$7:$M$23,ROWS($L$7:$L$23)),INDEX($M$7:$M$23,MATCH(D24,$L$7:$L$23,1))+(D24-INDEX($L$7:$L$23,MATCH(D24,$L$7:$L$23,1)))*(INDEX($M$7:$M$23,MATCH(D24,$L$7:$L$23,1)+1)-INDEX($M$7:$M$23,MATCH(D24,$L$7:$L$23,1)))/(INDEX($L$7:$L$23,MATCH(D24,$L$7:$L$23,1)+1)-INDEX($L$7:$L$23,MATCH(D24,$L$7:$L$23,1)))))</x:f>
        <x:v>19.97625</x:v>
      </x:c>
      <x:c r="I24" s="53" t="n">
        <x:f>H24-B24</x:f>
        <x:v>0.0012499999999988631</x:v>
      </x:c>
      <x:c r="J24" s="57" t="n">
        <x:f>IF(B24=0,0,ABS(I24)/B24)</x:f>
        <x:v>0.00006257822277841617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2" t="n">
        <x:v>18</x:v>
      </x:c>
      <x:c r="B25" s="53" t="n">
        <x:f>$B$3*A25/$E$3</x:f>
        <x:v>21.15</x:v>
      </x:c>
      <x:c r="C25" s="54" t="n">
        <x:f>IF(B25&lt;=MIN($M$7:$M$23),INDEX($L$7:$L$23,1),IF(B25&gt;=MAX($M$7:$M$23),INDEX($L$7:$L$23,ROWS($L$7:$L$23)),INDEX($L$7:$L$23,MATCH(B25,$M$7:$M$23,1))+(B25-INDEX($M$7:$M$23,MATCH(B25,$M$7:$M$23,1)))*(INDEX($L$7:$L$23,MATCH(B25,$M$7:$M$23,1)+1)-INDEX($L$7:$L$23,MATCH(B25,$M$7:$M$23,1)))/(INDEX($M$7:$M$23,MATCH(B25,$M$7:$M$23,1)+1)-INDEX($M$7:$M$23,MATCH(B25,$M$7:$M$23,1)))))</x:f>
        <x:v>246.9971621142249</x:v>
      </x:c>
      <x:c r="D25" s="55" t="n">
        <x:f>ROUND(C25,0)</x:f>
        <x:v>247</x:v>
      </x:c>
      <x:c r="E25" s="79" t="n">
        <x:f>0</x:f>
        <x:v>0</x:v>
      </x:c>
      <x:c r="F25" s="79" t="n">
        <x:f>0</x:f>
        <x:v>0</x:v>
      </x:c>
      <x:c r="G25" s="79" t="n">
        <x:f>D25</x:f>
        <x:v>247</x:v>
      </x:c>
      <x:c r="H25" s="53" t="n">
        <x:f>IF(D25&lt;=MIN($L$7:$L$23),INDEX($M$7:$M$23,1),IF(D25&gt;=MAX($L$7:$L$23),INDEX($M$7:$M$23,ROWS($L$7:$L$23)),INDEX($M$7:$M$23,MATCH(D25,$L$7:$L$23,1))+(D25-INDEX($L$7:$L$23,MATCH(D25,$L$7:$L$23,1)))*(INDEX($M$7:$M$23,MATCH(D25,$L$7:$L$23,1)+1)-INDEX($M$7:$M$23,MATCH(D25,$L$7:$L$23,1)))/(INDEX($L$7:$L$23,MATCH(D25,$L$7:$L$23,1)+1)-INDEX($L$7:$L$23,MATCH(D25,$L$7:$L$23,1)))))</x:f>
        <x:v>21.15083333333333</x:v>
      </x:c>
      <x:c r="I25" s="53" t="n">
        <x:f>H25-B25</x:f>
        <x:v>0.0008333333333325754</x:v>
      </x:c>
      <x:c r="J25" s="57" t="n">
        <x:f>IF(B25=0,0,ABS(I25)/B25)</x:f>
        <x:v>0.000039401103230854635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52" t="n">
        <x:v>19</x:v>
      </x:c>
      <x:c r="B26" s="53" t="n">
        <x:f>$B$3*A26/$E$3</x:f>
        <x:v>22.325</x:v>
      </x:c>
      <x:c r="C26" s="54" t="n">
        <x:f>IF(B26&lt;=MIN($M$7:$M$23),INDEX($L$7:$L$23,1),IF(B26&gt;=MAX($M$7:$M$23),INDEX($L$7:$L$23,ROWS($L$7:$L$23)),INDEX($L$7:$L$23,MATCH(B26,$M$7:$M$23,1))+(B26-INDEX($M$7:$M$23,MATCH(B26,$M$7:$M$23,1)))*(INDEX($L$7:$L$23,MATCH(B26,$M$7:$M$23,1)+1)-INDEX($L$7:$L$23,MATCH(B26,$M$7:$M$23,1)))/(INDEX($M$7:$M$23,MATCH(B26,$M$7:$M$23,1)+1)-INDEX($M$7:$M$23,MATCH(B26,$M$7:$M$23,1)))))</x:f>
        <x:v>250.99858105711246</x:v>
      </x:c>
      <x:c r="D26" s="55" t="n">
        <x:f>ROUND(C26,0)</x:f>
        <x:v>251</x:v>
      </x:c>
      <x:c r="E26" s="79" t="n">
        <x:f>0</x:f>
        <x:v>0</x:v>
      </x:c>
      <x:c r="F26" s="79" t="n">
        <x:f>0</x:f>
        <x:v>0</x:v>
      </x:c>
      <x:c r="G26" s="79" t="n">
        <x:f>D26</x:f>
        <x:v>251</x:v>
      </x:c>
      <x:c r="H26" s="53" t="n">
        <x:f>IF(D26&lt;=MIN($L$7:$L$23),INDEX($M$7:$M$23,1),IF(D26&gt;=MAX($L$7:$L$23),INDEX($M$7:$M$23,ROWS($L$7:$L$23)),INDEX($M$7:$M$23,MATCH(D26,$L$7:$L$23,1))+(D26-INDEX($L$7:$L$23,MATCH(D26,$L$7:$L$23,1)))*(INDEX($M$7:$M$23,MATCH(D26,$L$7:$L$23,1)+1)-INDEX($M$7:$M$23,MATCH(D26,$L$7:$L$23,1)))/(INDEX($L$7:$L$23,MATCH(D26,$L$7:$L$23,1)+1)-INDEX($L$7:$L$23,MATCH(D26,$L$7:$L$23,1)))))</x:f>
        <x:v>22.325416666666666</x:v>
      </x:c>
      <x:c r="I26" s="53" t="n">
        <x:f>H26-B26</x:f>
        <x:v>0.0004166666666662877</x:v>
      </x:c>
      <x:c r="J26" s="57" t="n">
        <x:f>IF(B26=0,0,ABS(I26)/B26)</x:f>
        <x:v>0.000018663680477773248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2" t="n">
        <x:v>20</x:v>
      </x:c>
      <x:c r="B27" s="53" t="n">
        <x:f>$B$3*A27/$E$3</x:f>
        <x:v>23.5</x:v>
      </x:c>
      <x:c r="C27" s="54" t="n">
        <x:f>IF(B27&lt;=MIN($M$7:$M$23),INDEX($L$7:$L$23,1),IF(B27&gt;=MAX($M$7:$M$23),INDEX($L$7:$L$23,ROWS($L$7:$L$23)),INDEX($L$7:$L$23,MATCH(B27,$M$7:$M$23,1))+(B27-INDEX($M$7:$M$23,MATCH(B27,$M$7:$M$23,1)))*(INDEX($L$7:$L$23,MATCH(B27,$M$7:$M$23,1)+1)-INDEX($L$7:$L$23,MATCH(B27,$M$7:$M$23,1)))/(INDEX($M$7:$M$23,MATCH(B27,$M$7:$M$23,1)+1)-INDEX($M$7:$M$23,MATCH(B27,$M$7:$M$23,1)))))</x:f>
        <x:v>255</x:v>
      </x:c>
      <x:c r="D27" s="55" t="n">
        <x:f>ROUND(C27,0)</x:f>
        <x:v>255</x:v>
      </x:c>
      <x:c r="E27" s="79" t="n">
        <x:f>0</x:f>
        <x:v>0</x:v>
      </x:c>
      <x:c r="F27" s="79" t="n">
        <x:f>0</x:f>
        <x:v>0</x:v>
      </x:c>
      <x:c r="G27" s="79" t="n">
        <x:f>D27</x:f>
        <x:v>255</x:v>
      </x:c>
      <x:c r="H27" s="53" t="n">
        <x:f>IF(D27&lt;=MIN($L$7:$L$23),INDEX($M$7:$M$23,1),IF(D27&gt;=MAX($L$7:$L$23),INDEX($M$7:$M$23,ROWS($L$7:$L$23)),INDEX($M$7:$M$23,MATCH(D27,$L$7:$L$23,1))+(D27-INDEX($L$7:$L$23,MATCH(D27,$L$7:$L$23,1)))*(INDEX($M$7:$M$23,MATCH(D27,$L$7:$L$23,1)+1)-INDEX($M$7:$M$23,MATCH(D27,$L$7:$L$23,1)))/(INDEX($L$7:$L$23,MATCH(D27,$L$7:$L$23,1)+1)-INDEX($L$7:$L$23,MATCH(D27,$L$7:$L$23,1)))))</x:f>
        <x:v>23.5</x:v>
      </x:c>
      <x:c r="I27" s="53" t="n">
        <x:f>H27-B27</x:f>
        <x:v>0</x:v>
      </x:c>
      <x:c r="J27" s="57" t="n">
        <x:f>IF(B27=0,0,ABS(I27)/B27)</x:f>
        <x:v>0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</x:sheetData>
  <x:mergeCells>
    <x:mergeCell ref="A1:J1"/>
    <x:mergeCell ref="A2:J2"/>
    <x:mergeCell ref="A4:J4"/>
  </x:mergeCells>
  <x:conditionalFormatting sqref="J7:J27">
    <x:cfRule type="colorScale" priority="1">
      <x:colorScale>
        <x:cfvo type="min"/>
        <x:cfvo type="percentile" val="50"/>
        <x:cfvo type="max"/>
        <x:color rgb="FFE8F5E9"/>
        <x:color rgb="FFFFF4CC"/>
        <x:color rgb="FFFADBD8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3" hidden="0" customWidth="1"/>
    <x:col min="5" max="5" width="8" hidden="0" customWidth="1"/>
    <x:col min="6" max="6" width="8" hidden="0" customWidth="1"/>
    <x:col min="7" max="7" width="8" hidden="0" customWidth="1"/>
    <x:col min="8" max="8" width="13" hidden="0" customWidth="1"/>
    <x:col min="9" max="9" width="13" hidden="0" customWidth="1"/>
    <x:col min="10" max="10" width="11" hidden="0" customWidth="1"/>
    <x:col min="11" max="11" width="3" hidden="0" customWidth="1"/>
    <x:col min="12" max="12" width="15" hidden="0" customWidth="1"/>
    <x:col min="13" max="13" width="15" hidden="0" customWidth="1"/>
  </x:cols>
  <x:sheetData>
    <x:row r="1" ht="28" customHeight="1">
      <x:c r="A1" s="82" t="str">
        <x:v>Gray：0–20 等亮度刺激标定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4" customHeight="1">
      <x:c r="A2" s="86" t="str">
        <x:v>方法：先把 0–20 线性映射到共同目标亮度，再对该通道的实测“屏幕值→亮度”曲线做分段线性反插值；推荐屏幕值取最近整数。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6" customHeight="1">
      <x:c r="A3" s="11" t="str">
        <x:v>共同最大目标亮度 (cd/m²)</x:v>
      </x:c>
      <x:c r="B3" s="14" t="n">
        <x:f>MIN('R'!$M$23,'G'!$M$23,'B'!$M$23,'Gray'!$M$23)</x:f>
        <x:v>23.5</x:v>
      </x:c>
      <x:c r="C3" s="11"/>
      <x:c r="D3" s="11" t="str">
        <x:v>最大强度等级</x:v>
      </x:c>
      <x:c r="E3" s="15" t="n">
        <x:v>20</x:v>
      </x:c>
      <x:c r="F3" s="11"/>
      <x:c r="G3" s="11" t="str">
        <x:v>限制通道</x:v>
      </x:c>
      <x:c r="H3" s="13" t="str">
        <x:v>B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19" t="str">
        <x:v>注意：自动测量没有 RGB=0 的数据；等级 0 定义为屏幕值 (0,0,0)，曲线中补入 (输入0, 亮度0)。等级 1–20 的目标亮度均落在实测范围内。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6" customHeight="1">
      <x:c r="A6" s="32" t="str">
        <x:v>强度等级</x:v>
      </x:c>
      <x:c r="B6" s="32" t="str">
        <x:v>目标亮度
(cd/m²)</x:v>
      </x:c>
      <x:c r="C6" s="32" t="str">
        <x:v>反插值通道值
(连续)</x:v>
      </x:c>
      <x:c r="D6" s="32" t="str">
        <x:v>推荐通道值
(整数)</x:v>
      </x:c>
      <x:c r="E6" s="32" t="str">
        <x:v>R</x:v>
      </x:c>
      <x:c r="F6" s="32" t="str">
        <x:v>G</x:v>
      </x:c>
      <x:c r="G6" s="32" t="str">
        <x:v>B</x:v>
      </x:c>
      <x:c r="H6" s="32" t="str">
        <x:v>预计亮度
(cd/m²)</x:v>
      </x:c>
      <x:c r="I6" s="32" t="str">
        <x:v>亮度误差
(cd/m²)</x:v>
      </x:c>
      <x:c r="J6" s="32" t="str">
        <x:v>相对误差</x:v>
      </x:c>
      <x:c r="K6" s="1"/>
      <x:c r="L6" s="36" t="str">
        <x:v>实测输入值</x:v>
      </x:c>
      <x:c r="M6" s="36" t="str">
        <x:v>最终平均亮度
(cd/m²)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2" t="n">
        <x:v>0</x:v>
      </x:c>
      <x:c r="B7" s="53" t="n">
        <x:f>$B$3*A7/$E$3</x:f>
        <x:v>0</x:v>
      </x:c>
      <x:c r="C7" s="54" t="n">
        <x:f>IF(B7&lt;=MIN($M$7:$M$23),INDEX($L$7:$L$23,1),IF(B7&gt;=MAX($M$7:$M$23),INDEX($L$7:$L$23,ROWS($L$7:$L$23)),INDEX($L$7:$L$23,MATCH(B7,$M$7:$M$23,1))+(B7-INDEX($M$7:$M$23,MATCH(B7,$M$7:$M$23,1)))*(INDEX($L$7:$L$23,MATCH(B7,$M$7:$M$23,1)+1)-INDEX($L$7:$L$23,MATCH(B7,$M$7:$M$23,1)))/(INDEX($M$7:$M$23,MATCH(B7,$M$7:$M$23,1)+1)-INDEX($M$7:$M$23,MATCH(B7,$M$7:$M$23,1)))))</x:f>
        <x:v>0</x:v>
      </x:c>
      <x:c r="D7" s="55" t="n">
        <x:f>ROUND(C7,0)</x:f>
        <x:v>0</x:v>
      </x:c>
      <x:c r="E7" s="90" t="n">
        <x:f>D7</x:f>
        <x:v>0</x:v>
      </x:c>
      <x:c r="F7" s="90" t="n">
        <x:f>D7</x:f>
        <x:v>0</x:v>
      </x:c>
      <x:c r="G7" s="90" t="n">
        <x:f>D7</x:f>
        <x:v>0</x:v>
      </x:c>
      <x:c r="H7" s="53" t="n">
        <x:f>IF(D7&lt;=MIN($L$7:$L$23),INDEX($M$7:$M$23,1),IF(D7&gt;=MAX($L$7:$L$23),INDEX($M$7:$M$23,ROWS($L$7:$L$23)),INDEX($M$7:$M$23,MATCH(D7,$L$7:$L$23,1))+(D7-INDEX($L$7:$L$23,MATCH(D7,$L$7:$L$23,1)))*(INDEX($M$7:$M$23,MATCH(D7,$L$7:$L$23,1)+1)-INDEX($M$7:$M$23,MATCH(D7,$L$7:$L$23,1)))/(INDEX($L$7:$L$23,MATCH(D7,$L$7:$L$23,1)+1)-INDEX($L$7:$L$23,MATCH(D7,$L$7:$L$23,1)))))</x:f>
        <x:v>0</x:v>
      </x:c>
      <x:c r="I7" s="53" t="n">
        <x:f>H7-B7</x:f>
        <x:v>0</x:v>
      </x:c>
      <x:c r="J7" s="57" t="n">
        <x:f>IF(B7=0,0,ABS(I7)/B7)</x:f>
        <x:v>0</x:v>
      </x:c>
      <x:c r="K7" s="1"/>
      <x:c r="L7" s="44" t="n">
        <x:v>0</x:v>
      </x:c>
      <x:c r="M7" s="45" t="n">
        <x:v>0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2" t="n">
        <x:v>1</x:v>
      </x:c>
      <x:c r="B8" s="53" t="n">
        <x:f>$B$3*A8/$E$3</x:f>
        <x:v>1.175</x:v>
      </x:c>
      <x:c r="C8" s="54" t="n">
        <x:f>IF(B8&lt;=MIN($M$7:$M$23),INDEX($L$7:$L$23,1),IF(B8&gt;=MAX($M$7:$M$23),INDEX($L$7:$L$23,ROWS($L$7:$L$23)),INDEX($L$7:$L$23,MATCH(B8,$M$7:$M$23,1))+(B8-INDEX($M$7:$M$23,MATCH(B8,$M$7:$M$23,1)))*(INDEX($L$7:$L$23,MATCH(B8,$M$7:$M$23,1)+1)-INDEX($L$7:$L$23,MATCH(B8,$M$7:$M$23,1)))/(INDEX($M$7:$M$23,MATCH(B8,$M$7:$M$23,1)+1)-INDEX($M$7:$M$23,MATCH(B8,$M$7:$M$23,1)))))</x:f>
        <x:v>16.850084110284264</x:v>
      </x:c>
      <x:c r="D8" s="55" t="n">
        <x:f>ROUND(C8,0)</x:f>
        <x:v>17</x:v>
      </x:c>
      <x:c r="E8" s="90" t="n">
        <x:f>D8</x:f>
        <x:v>17</x:v>
      </x:c>
      <x:c r="F8" s="90" t="n">
        <x:f>D8</x:f>
        <x:v>17</x:v>
      </x:c>
      <x:c r="G8" s="90" t="n">
        <x:f>D8</x:f>
        <x:v>17</x:v>
      </x:c>
      <x:c r="H8" s="53" t="n">
        <x:f>IF(D8&lt;=MIN($L$7:$L$23),INDEX($M$7:$M$23,1),IF(D8&gt;=MAX($L$7:$L$23),INDEX($M$7:$M$23,ROWS($L$7:$L$23)),INDEX($M$7:$M$23,MATCH(D8,$L$7:$L$23,1))+(D8-INDEX($L$7:$L$23,MATCH(D8,$L$7:$L$23,1)))*(INDEX($M$7:$M$23,MATCH(D8,$L$7:$L$23,1)+1)-INDEX($M$7:$M$23,MATCH(D8,$L$7:$L$23,1)))/(INDEX($L$7:$L$23,MATCH(D8,$L$7:$L$23,1)+1)-INDEX($L$7:$L$23,MATCH(D8,$L$7:$L$23,1)))))</x:f>
        <x:v>1.1969083333333332</x:v>
      </x:c>
      <x:c r="I8" s="53" t="n">
        <x:f>H8-B8</x:f>
        <x:v>0.021908333333333196</x:v>
      </x:c>
      <x:c r="J8" s="57" t="n">
        <x:f>IF(B8=0,0,ABS(I8)/B8)</x:f>
        <x:v>0.018645390070921867</x:v>
      </x:c>
      <x:c r="K8" s="1"/>
      <x:c r="L8" s="44" t="n">
        <x:v>15</x:v>
      </x:c>
      <x:c r="M8" s="45" t="n">
        <x:v>0.9046333333333333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2" t="n">
        <x:v>2</x:v>
      </x:c>
      <x:c r="B9" s="53" t="n">
        <x:f>$B$3*A9/$E$3</x:f>
        <x:v>2.35</x:v>
      </x:c>
      <x:c r="C9" s="54" t="n">
        <x:f>IF(B9&lt;=MIN($M$7:$M$23),INDEX($L$7:$L$23,1),IF(B9&gt;=MAX($M$7:$M$23),INDEX($L$7:$L$23,ROWS($L$7:$L$23)),INDEX($L$7:$L$23,MATCH(B9,$M$7:$M$23,1))+(B9-INDEX($M$7:$M$23,MATCH(B9,$M$7:$M$23,1)))*(INDEX($L$7:$L$23,MATCH(B9,$M$7:$M$23,1)+1)-INDEX($L$7:$L$23,MATCH(B9,$M$7:$M$23,1)))/(INDEX($M$7:$M$23,MATCH(B9,$M$7:$M$23,1)+1)-INDEX($M$7:$M$23,MATCH(B9,$M$7:$M$23,1)))))</x:f>
        <x:v>24.890457046731104</x:v>
      </x:c>
      <x:c r="D9" s="55" t="n">
        <x:f>ROUND(C9,0)</x:f>
        <x:v>25</x:v>
      </x:c>
      <x:c r="E9" s="90" t="n">
        <x:f>D9</x:f>
        <x:v>25</x:v>
      </x:c>
      <x:c r="F9" s="90" t="n">
        <x:f>D9</x:f>
        <x:v>25</x:v>
      </x:c>
      <x:c r="G9" s="90" t="n">
        <x:f>D9</x:f>
        <x:v>25</x:v>
      </x:c>
      <x:c r="H9" s="53" t="n">
        <x:f>IF(D9&lt;=MIN($L$7:$L$23),INDEX($M$7:$M$23,1),IF(D9&gt;=MAX($L$7:$L$23),INDEX($M$7:$M$23,ROWS($L$7:$L$23)),INDEX($M$7:$M$23,MATCH(D9,$L$7:$L$23,1))+(D9-INDEX($L$7:$L$23,MATCH(D9,$L$7:$L$23,1)))*(INDEX($M$7:$M$23,MATCH(D9,$L$7:$L$23,1)+1)-INDEX($M$7:$M$23,MATCH(D9,$L$7:$L$23,1)))/(INDEX($L$7:$L$23,MATCH(D9,$L$7:$L$23,1)+1)-INDEX($L$7:$L$23,MATCH(D9,$L$7:$L$23,1)))))</x:f>
        <x:v>2.3660083333333333</x:v>
      </x:c>
      <x:c r="I9" s="53" t="n">
        <x:f>H9-B9</x:f>
        <x:v>0.01600833333333318</x:v>
      </x:c>
      <x:c r="J9" s="57" t="n">
        <x:f>IF(B9=0,0,ABS(I9)/B9)</x:f>
        <x:v>0.006812056737588587</x:v>
      </x:c>
      <x:c r="K9" s="1"/>
      <x:c r="L9" s="44" t="n">
        <x:v>31</x:v>
      </x:c>
      <x:c r="M9" s="45" t="n">
        <x:v>3.2428333333333335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2" t="n">
        <x:v>3</x:v>
      </x:c>
      <x:c r="B10" s="53" t="n">
        <x:f>$B$3*A10/$E$3</x:f>
        <x:v>3.525</x:v>
      </x:c>
      <x:c r="C10" s="54" t="n">
        <x:f>IF(B10&lt;=MIN($M$7:$M$23),INDEX($L$7:$L$23,1),IF(B10&gt;=MAX($M$7:$M$23),INDEX($L$7:$L$23,ROWS($L$7:$L$23)),INDEX($L$7:$L$23,MATCH(B10,$M$7:$M$23,1))+(B10-INDEX($M$7:$M$23,MATCH(B10,$M$7:$M$23,1)))*(INDEX($L$7:$L$23,MATCH(B10,$M$7:$M$23,1)+1)-INDEX($L$7:$L$23,MATCH(B10,$M$7:$M$23,1)))/(INDEX($M$7:$M$23,MATCH(B10,$M$7:$M$23,1)+1)-INDEX($M$7:$M$23,MATCH(B10,$M$7:$M$23,1)))))</x:f>
        <x:v>31.999299074039914</x:v>
      </x:c>
      <x:c r="D10" s="55" t="n">
        <x:f>ROUND(C10,0)</x:f>
        <x:v>32</x:v>
      </x:c>
      <x:c r="E10" s="90" t="n">
        <x:f>D10</x:f>
        <x:v>32</x:v>
      </x:c>
      <x:c r="F10" s="90" t="n">
        <x:f>D10</x:f>
        <x:v>32</x:v>
      </x:c>
      <x:c r="G10" s="90" t="n">
        <x:f>D10</x:f>
        <x:v>32</x:v>
      </x:c>
      <x:c r="H10" s="53" t="n">
        <x:f>IF(D10&lt;=MIN($L$7:$L$23),INDEX($M$7:$M$23,1),IF(D10&gt;=MAX($L$7:$L$23),INDEX($M$7:$M$23,ROWS($L$7:$L$23)),INDEX($M$7:$M$23,MATCH(D10,$L$7:$L$23,1))+(D10-INDEX($L$7:$L$23,MATCH(D10,$L$7:$L$23,1)))*(INDEX($M$7:$M$23,MATCH(D10,$L$7:$L$23,1)+1)-INDEX($M$7:$M$23,MATCH(D10,$L$7:$L$23,1)))/(INDEX($L$7:$L$23,MATCH(D10,$L$7:$L$23,1)+1)-INDEX($L$7:$L$23,MATCH(D10,$L$7:$L$23,1)))))</x:f>
        <x:v>3.525197916666667</x:v>
      </x:c>
      <x:c r="I10" s="53" t="n">
        <x:f>H10-B10</x:f>
        <x:v>0.00019791666666701957</x:v>
      </x:c>
      <x:c r="J10" s="57" t="n">
        <x:f>IF(B10=0,0,ABS(I10)/B10)</x:f>
        <x:v>0.00005614657210411903</x:v>
      </x:c>
      <x:c r="K10" s="1"/>
      <x:c r="L10" s="44" t="n">
        <x:v>47</x:v>
      </x:c>
      <x:c r="M10" s="45" t="n">
        <x:v>7.760666666666667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2" t="n">
        <x:v>4</x:v>
      </x:c>
      <x:c r="B11" s="53" t="n">
        <x:f>$B$3*A11/$E$3</x:f>
        <x:v>4.7</x:v>
      </x:c>
      <x:c r="C11" s="54" t="n">
        <x:f>IF(B11&lt;=MIN($M$7:$M$23),INDEX($L$7:$L$23,1),IF(B11&gt;=MAX($M$7:$M$23),INDEX($L$7:$L$23,ROWS($L$7:$L$23)),INDEX($L$7:$L$23,MATCH(B11,$M$7:$M$23,1))+(B11-INDEX($M$7:$M$23,MATCH(B11,$M$7:$M$23,1)))*(INDEX($L$7:$L$23,MATCH(B11,$M$7:$M$23,1)+1)-INDEX($L$7:$L$23,MATCH(B11,$M$7:$M$23,1)))/(INDEX($M$7:$M$23,MATCH(B11,$M$7:$M$23,1)+1)-INDEX($M$7:$M$23,MATCH(B11,$M$7:$M$23,1)))))</x:f>
        <x:v>36.16058582653927</x:v>
      </x:c>
      <x:c r="D11" s="55" t="n">
        <x:f>ROUND(C11,0)</x:f>
        <x:v>36</x:v>
      </x:c>
      <x:c r="E11" s="90" t="n">
        <x:f>D11</x:f>
        <x:v>36</x:v>
      </x:c>
      <x:c r="F11" s="90" t="n">
        <x:f>D11</x:f>
        <x:v>36</x:v>
      </x:c>
      <x:c r="G11" s="90" t="n">
        <x:f>D11</x:f>
        <x:v>36</x:v>
      </x:c>
      <x:c r="H11" s="53" t="n">
        <x:f>IF(D11&lt;=MIN($L$7:$L$23),INDEX($M$7:$M$23,1),IF(D11&gt;=MAX($L$7:$L$23),INDEX($M$7:$M$23,ROWS($L$7:$L$23)),INDEX($M$7:$M$23,MATCH(D11,$L$7:$L$23,1))+(D11-INDEX($L$7:$L$23,MATCH(D11,$L$7:$L$23,1)))*(INDEX($M$7:$M$23,MATCH(D11,$L$7:$L$23,1)+1)-INDEX($M$7:$M$23,MATCH(D11,$L$7:$L$23,1)))/(INDEX($L$7:$L$23,MATCH(D11,$L$7:$L$23,1)+1)-INDEX($L$7:$L$23,MATCH(D11,$L$7:$L$23,1)))))</x:f>
        <x:v>4.65465625</x:v>
      </x:c>
      <x:c r="I11" s="53" t="n">
        <x:f>H11-B11</x:f>
        <x:v>-0.045343749999999794</x:v>
      </x:c>
      <x:c r="J11" s="57" t="n">
        <x:f>IF(B11=0,0,ABS(I11)/B11)</x:f>
        <x:v>0.00964760638297868</x:v>
      </x:c>
      <x:c r="K11" s="1"/>
      <x:c r="L11" s="44" t="n">
        <x:v>63</x:v>
      </x:c>
      <x:c r="M11" s="45" t="n">
        <x:v>13.575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2" t="n">
        <x:v>5</x:v>
      </x:c>
      <x:c r="B12" s="53" t="n">
        <x:f>$B$3*A12/$E$3</x:f>
        <x:v>5.875</x:v>
      </x:c>
      <x:c r="C12" s="54" t="n">
        <x:f>IF(B12&lt;=MIN($M$7:$M$23),INDEX($L$7:$L$23,1),IF(B12&gt;=MAX($M$7:$M$23),INDEX($L$7:$L$23,ROWS($L$7:$L$23)),INDEX($L$7:$L$23,MATCH(B12,$M$7:$M$23,1))+(B12-INDEX($M$7:$M$23,MATCH(B12,$M$7:$M$23,1)))*(INDEX($L$7:$L$23,MATCH(B12,$M$7:$M$23,1)+1)-INDEX($L$7:$L$23,MATCH(B12,$M$7:$M$23,1)))/(INDEX($M$7:$M$23,MATCH(B12,$M$7:$M$23,1)+1)-INDEX($M$7:$M$23,MATCH(B12,$M$7:$M$23,1)))))</x:f>
        <x:v>40.321872579038626</x:v>
      </x:c>
      <x:c r="D12" s="55" t="n">
        <x:f>ROUND(C12,0)</x:f>
        <x:v>40</x:v>
      </x:c>
      <x:c r="E12" s="90" t="n">
        <x:f>D12</x:f>
        <x:v>40</x:v>
      </x:c>
      <x:c r="F12" s="90" t="n">
        <x:f>D12</x:f>
        <x:v>40</x:v>
      </x:c>
      <x:c r="G12" s="90" t="n">
        <x:f>D12</x:f>
        <x:v>40</x:v>
      </x:c>
      <x:c r="H12" s="53" t="n">
        <x:f>IF(D12&lt;=MIN($L$7:$L$23),INDEX($M$7:$M$23,1),IF(D12&gt;=MAX($L$7:$L$23),INDEX($M$7:$M$23,ROWS($L$7:$L$23)),INDEX($M$7:$M$23,MATCH(D12,$L$7:$L$23,1))+(D12-INDEX($L$7:$L$23,MATCH(D12,$L$7:$L$23,1)))*(INDEX($M$7:$M$23,MATCH(D12,$L$7:$L$23,1)+1)-INDEX($M$7:$M$23,MATCH(D12,$L$7:$L$23,1)))/(INDEX($L$7:$L$23,MATCH(D12,$L$7:$L$23,1)+1)-INDEX($L$7:$L$23,MATCH(D12,$L$7:$L$23,1)))))</x:f>
        <x:v>5.784114583333334</x:v>
      </x:c>
      <x:c r="I12" s="53" t="n">
        <x:f>H12-B12</x:f>
        <x:v>-0.09088541666666572</x:v>
      </x:c>
      <x:c r="J12" s="57" t="n">
        <x:f>IF(B12=0,0,ABS(I12)/B12)</x:f>
        <x:v>0.015469858156028207</x:v>
      </x:c>
      <x:c r="K12" s="1"/>
      <x:c r="L12" s="44" t="n">
        <x:v>79</x:v>
      </x:c>
      <x:c r="M12" s="45" t="n">
        <x:v>21.13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 t="n">
        <x:v>6</x:v>
      </x:c>
      <x:c r="B13" s="53" t="n">
        <x:f>$B$3*A13/$E$3</x:f>
        <x:v>7.05</x:v>
      </x:c>
      <x:c r="C13" s="54" t="n">
        <x:f>IF(B13&lt;=MIN($M$7:$M$23),INDEX($L$7:$L$23,1),IF(B13&gt;=MAX($M$7:$M$23),INDEX($L$7:$L$23,ROWS($L$7:$L$23)),INDEX($L$7:$L$23,MATCH(B13,$M$7:$M$23,1))+(B13-INDEX($M$7:$M$23,MATCH(B13,$M$7:$M$23,1)))*(INDEX($L$7:$L$23,MATCH(B13,$M$7:$M$23,1)+1)-INDEX($L$7:$L$23,MATCH(B13,$M$7:$M$23,1)))/(INDEX($M$7:$M$23,MATCH(B13,$M$7:$M$23,1)+1)-INDEX($M$7:$M$23,MATCH(B13,$M$7:$M$23,1)))))</x:f>
        <x:v>44.483159331537976</x:v>
      </x:c>
      <x:c r="D13" s="55" t="n">
        <x:f>ROUND(C13,0)</x:f>
        <x:v>44</x:v>
      </x:c>
      <x:c r="E13" s="90" t="n">
        <x:f>D13</x:f>
        <x:v>44</x:v>
      </x:c>
      <x:c r="F13" s="90" t="n">
        <x:f>D13</x:f>
        <x:v>44</x:v>
      </x:c>
      <x:c r="G13" s="90" t="n">
        <x:f>D13</x:f>
        <x:v>44</x:v>
      </x:c>
      <x:c r="H13" s="53" t="n">
        <x:f>IF(D13&lt;=MIN($L$7:$L$23),INDEX($M$7:$M$23,1),IF(D13&gt;=MAX($L$7:$L$23),INDEX($M$7:$M$23,ROWS($L$7:$L$23)),INDEX($M$7:$M$23,MATCH(D13,$L$7:$L$23,1))+(D13-INDEX($L$7:$L$23,MATCH(D13,$L$7:$L$23,1)))*(INDEX($M$7:$M$23,MATCH(D13,$L$7:$L$23,1)+1)-INDEX($M$7:$M$23,MATCH(D13,$L$7:$L$23,1)))/(INDEX($L$7:$L$23,MATCH(D13,$L$7:$L$23,1)+1)-INDEX($L$7:$L$23,MATCH(D13,$L$7:$L$23,1)))))</x:f>
        <x:v>6.913572916666667</x:v>
      </x:c>
      <x:c r="I13" s="53" t="n">
        <x:f>H13-B13</x:f>
        <x:v>-0.13642708333333253</x:v>
      </x:c>
      <x:c r="J13" s="57" t="n">
        <x:f>IF(B13=0,0,ABS(I13)/B13)</x:f>
        <x:v>0.019351359338061352</x:v>
      </x:c>
      <x:c r="K13" s="1"/>
      <x:c r="L13" s="44" t="n">
        <x:v>95</x:v>
      </x:c>
      <x:c r="M13" s="45" t="n">
        <x:v>31.61166666666667</x:v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2" t="n">
        <x:v>7</x:v>
      </x:c>
      <x:c r="B14" s="53" t="n">
        <x:f>$B$3*A14/$E$3</x:f>
        <x:v>8.225</x:v>
      </x:c>
      <x:c r="C14" s="54" t="n">
        <x:f>IF(B14&lt;=MIN($M$7:$M$23),INDEX($L$7:$L$23,1),IF(B14&gt;=MAX($M$7:$M$23),INDEX($L$7:$L$23,ROWS($L$7:$L$23)),INDEX($L$7:$L$23,MATCH(B14,$M$7:$M$23,1))+(B14-INDEX($M$7:$M$23,MATCH(B14,$M$7:$M$23,1)))*(INDEX($L$7:$L$23,MATCH(B14,$M$7:$M$23,1)+1)-INDEX($L$7:$L$23,MATCH(B14,$M$7:$M$23,1)))/(INDEX($M$7:$M$23,MATCH(B14,$M$7:$M$23,1)+1)-INDEX($M$7:$M$23,MATCH(B14,$M$7:$M$23,1)))))</x:f>
        <x:v>48.277761852892276</x:v>
      </x:c>
      <x:c r="D14" s="55" t="n">
        <x:f>ROUND(C14,0)</x:f>
        <x:v>48</x:v>
      </x:c>
      <x:c r="E14" s="90" t="n">
        <x:f>D14</x:f>
        <x:v>48</x:v>
      </x:c>
      <x:c r="F14" s="90" t="n">
        <x:f>D14</x:f>
        <x:v>48</x:v>
      </x:c>
      <x:c r="G14" s="90" t="n">
        <x:f>D14</x:f>
        <x:v>48</x:v>
      </x:c>
      <x:c r="H14" s="53" t="n">
        <x:f>IF(D14&lt;=MIN($L$7:$L$23),INDEX($M$7:$M$23,1),IF(D14&gt;=MAX($L$7:$L$23),INDEX($M$7:$M$23,ROWS($L$7:$L$23)),INDEX($M$7:$M$23,MATCH(D14,$L$7:$L$23,1))+(D14-INDEX($L$7:$L$23,MATCH(D14,$L$7:$L$23,1)))*(INDEX($M$7:$M$23,MATCH(D14,$L$7:$L$23,1)+1)-INDEX($M$7:$M$23,MATCH(D14,$L$7:$L$23,1)))/(INDEX($L$7:$L$23,MATCH(D14,$L$7:$L$23,1)+1)-INDEX($L$7:$L$23,MATCH(D14,$L$7:$L$23,1)))))</x:f>
        <x:v>8.1240625</x:v>
      </x:c>
      <x:c r="I14" s="53" t="n">
        <x:f>H14-B14</x:f>
        <x:v>-0.10093749999999879</x:v>
      </x:c>
      <x:c r="J14" s="57" t="n">
        <x:f>IF(B14=0,0,ABS(I14)/B14)</x:f>
        <x:v>0.012272036474163988</x:v>
      </x:c>
      <x:c r="K14" s="1"/>
      <x:c r="L14" s="44" t="n">
        <x:v>111</x:v>
      </x:c>
      <x:c r="M14" s="45" t="n">
        <x:v>42.443333333333335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2" t="n">
        <x:v>8</x:v>
      </x:c>
      <x:c r="B15" s="53" t="n">
        <x:f>$B$3*A15/$E$3</x:f>
        <x:v>9.4</x:v>
      </x:c>
      <x:c r="C15" s="54" t="n">
        <x:f>IF(B15&lt;=MIN($M$7:$M$23),INDEX($L$7:$L$23,1),IF(B15&gt;=MAX($M$7:$M$23),INDEX($L$7:$L$23,ROWS($L$7:$L$23)),INDEX($L$7:$L$23,MATCH(B15,$M$7:$M$23,1))+(B15-INDEX($M$7:$M$23,MATCH(B15,$M$7:$M$23,1)))*(INDEX($L$7:$L$23,MATCH(B15,$M$7:$M$23,1)+1)-INDEX($L$7:$L$23,MATCH(B15,$M$7:$M$23,1)))/(INDEX($M$7:$M$23,MATCH(B15,$M$7:$M$23,1)+1)-INDEX($M$7:$M$23,MATCH(B15,$M$7:$M$23,1)))))</x:f>
        <x:v>51.51115060482715</x:v>
      </x:c>
      <x:c r="D15" s="55" t="n">
        <x:f>ROUND(C15,0)</x:f>
        <x:v>52</x:v>
      </x:c>
      <x:c r="E15" s="90" t="n">
        <x:f>D15</x:f>
        <x:v>52</x:v>
      </x:c>
      <x:c r="F15" s="90" t="n">
        <x:f>D15</x:f>
        <x:v>52</x:v>
      </x:c>
      <x:c r="G15" s="90" t="n">
        <x:f>D15</x:f>
        <x:v>52</x:v>
      </x:c>
      <x:c r="H15" s="53" t="n">
        <x:f>IF(D15&lt;=MIN($L$7:$L$23),INDEX($M$7:$M$23,1),IF(D15&gt;=MAX($L$7:$L$23),INDEX($M$7:$M$23,ROWS($L$7:$L$23)),INDEX($M$7:$M$23,MATCH(D15,$L$7:$L$23,1))+(D15-INDEX($L$7:$L$23,MATCH(D15,$L$7:$L$23,1)))*(INDEX($M$7:$M$23,MATCH(D15,$L$7:$L$23,1)+1)-INDEX($M$7:$M$23,MATCH(D15,$L$7:$L$23,1)))/(INDEX($L$7:$L$23,MATCH(D15,$L$7:$L$23,1)+1)-INDEX($L$7:$L$23,MATCH(D15,$L$7:$L$23,1)))))</x:f>
        <x:v>9.577645833333333</x:v>
      </x:c>
      <x:c r="I15" s="53" t="n">
        <x:f>H15-B15</x:f>
        <x:v>0.17764583333333306</x:v>
      </x:c>
      <x:c r="J15" s="57" t="n">
        <x:f>IF(B15=0,0,ABS(I15)/B15)</x:f>
        <x:v>0.01889849290780139</x:v>
      </x:c>
      <x:c r="K15" s="1"/>
      <x:c r="L15" s="44" t="n">
        <x:v>127</x:v>
      </x:c>
      <x:c r="M15" s="45" t="n">
        <x:v>56.89833333333334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2" t="n">
        <x:v>9</x:v>
      </x:c>
      <x:c r="B16" s="53" t="n">
        <x:f>$B$3*A16/$E$3</x:f>
        <x:v>10.575</x:v>
      </x:c>
      <x:c r="C16" s="54" t="n">
        <x:f>IF(B16&lt;=MIN($M$7:$M$23),INDEX($L$7:$L$23,1),IF(B16&gt;=MAX($M$7:$M$23),INDEX($L$7:$L$23,ROWS($L$7:$L$23)),INDEX($L$7:$L$23,MATCH(B16,$M$7:$M$23,1))+(B16-INDEX($M$7:$M$23,MATCH(B16,$M$7:$M$23,1)))*(INDEX($L$7:$L$23,MATCH(B16,$M$7:$M$23,1)+1)-INDEX($L$7:$L$23,MATCH(B16,$M$7:$M$23,1)))/(INDEX($M$7:$M$23,MATCH(B16,$M$7:$M$23,1)+1)-INDEX($M$7:$M$23,MATCH(B16,$M$7:$M$23,1)))))</x:f>
        <x:v>54.744539356762026</x:v>
      </x:c>
      <x:c r="D16" s="55" t="n">
        <x:f>ROUND(C16,0)</x:f>
        <x:v>55</x:v>
      </x:c>
      <x:c r="E16" s="90" t="n">
        <x:f>D16</x:f>
        <x:v>55</x:v>
      </x:c>
      <x:c r="F16" s="90" t="n">
        <x:f>D16</x:f>
        <x:v>55</x:v>
      </x:c>
      <x:c r="G16" s="90" t="n">
        <x:f>D16</x:f>
        <x:v>55</x:v>
      </x:c>
      <x:c r="H16" s="53" t="n">
        <x:f>IF(D16&lt;=MIN($L$7:$L$23),INDEX($M$7:$M$23,1),IF(D16&gt;=MAX($L$7:$L$23),INDEX($M$7:$M$23,ROWS($L$7:$L$23)),INDEX($M$7:$M$23,MATCH(D16,$L$7:$L$23,1))+(D16-INDEX($L$7:$L$23,MATCH(D16,$L$7:$L$23,1)))*(INDEX($M$7:$M$23,MATCH(D16,$L$7:$L$23,1)+1)-INDEX($M$7:$M$23,MATCH(D16,$L$7:$L$23,1)))/(INDEX($L$7:$L$23,MATCH(D16,$L$7:$L$23,1)+1)-INDEX($L$7:$L$23,MATCH(D16,$L$7:$L$23,1)))))</x:f>
        <x:v>10.667833333333334</x:v>
      </x:c>
      <x:c r="I16" s="53" t="n">
        <x:f>H16-B16</x:f>
        <x:v>0.09283333333333488</x:v>
      </x:c>
      <x:c r="J16" s="57" t="n">
        <x:f>IF(B16=0,0,ABS(I16)/B16)</x:f>
        <x:v>0.008778565799842541</x:v>
      </x:c>
      <x:c r="K16" s="1"/>
      <x:c r="L16" s="44" t="n">
        <x:v>143</x:v>
      </x:c>
      <x:c r="M16" s="45" t="n">
        <x:v>74.94333333333334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52" t="n">
        <x:v>10</x:v>
      </x:c>
      <x:c r="B17" s="53" t="n">
        <x:f>$B$3*A17/$E$3</x:f>
        <x:v>11.75</x:v>
      </x:c>
      <x:c r="C17" s="54" t="n">
        <x:f>IF(B17&lt;=MIN($M$7:$M$23),INDEX($L$7:$L$23,1),IF(B17&gt;=MAX($M$7:$M$23),INDEX($L$7:$L$23,ROWS($L$7:$L$23)),INDEX($L$7:$L$23,MATCH(B17,$M$7:$M$23,1))+(B17-INDEX($M$7:$M$23,MATCH(B17,$M$7:$M$23,1)))*(INDEX($L$7:$L$23,MATCH(B17,$M$7:$M$23,1)+1)-INDEX($L$7:$L$23,MATCH(B17,$M$7:$M$23,1)))/(INDEX($M$7:$M$23,MATCH(B17,$M$7:$M$23,1)+1)-INDEX($M$7:$M$23,MATCH(B17,$M$7:$M$23,1)))))</x:f>
        <x:v>57.9779281086969</x:v>
      </x:c>
      <x:c r="D17" s="55" t="n">
        <x:f>ROUND(C17,0)</x:f>
        <x:v>58</x:v>
      </x:c>
      <x:c r="E17" s="90" t="n">
        <x:f>D17</x:f>
        <x:v>58</x:v>
      </x:c>
      <x:c r="F17" s="90" t="n">
        <x:f>D17</x:f>
        <x:v>58</x:v>
      </x:c>
      <x:c r="G17" s="90" t="n">
        <x:f>D17</x:f>
        <x:v>58</x:v>
      </x:c>
      <x:c r="H17" s="53" t="n">
        <x:f>IF(D17&lt;=MIN($L$7:$L$23),INDEX($M$7:$M$23,1),IF(D17&gt;=MAX($L$7:$L$23),INDEX($M$7:$M$23,ROWS($L$7:$L$23)),INDEX($M$7:$M$23,MATCH(D17,$L$7:$L$23,1))+(D17-INDEX($L$7:$L$23,MATCH(D17,$L$7:$L$23,1)))*(INDEX($M$7:$M$23,MATCH(D17,$L$7:$L$23,1)+1)-INDEX($M$7:$M$23,MATCH(D17,$L$7:$L$23,1)))/(INDEX($L$7:$L$23,MATCH(D17,$L$7:$L$23,1)+1)-INDEX($L$7:$L$23,MATCH(D17,$L$7:$L$23,1)))))</x:f>
        <x:v>11.758020833333333</x:v>
      </x:c>
      <x:c r="I17" s="53" t="n">
        <x:f>H17-B17</x:f>
        <x:v>0.008020833333333144</x:v>
      </x:c>
      <x:c r="J17" s="57" t="n">
        <x:f>IF(B17=0,0,ABS(I17)/B17)</x:f>
        <x:v>0.0006826241134751612</x:v>
      </x:c>
      <x:c r="K17" s="1"/>
      <x:c r="L17" s="44" t="n">
        <x:v>159</x:v>
      </x:c>
      <x:c r="M17" s="45" t="n">
        <x:v>91.14000000000001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52" t="n">
        <x:v>11</x:v>
      </x:c>
      <x:c r="B18" s="53" t="n">
        <x:f>$B$3*A18/$E$3</x:f>
        <x:v>12.925</x:v>
      </x:c>
      <x:c r="C18" s="54" t="n">
        <x:f>IF(B18&lt;=MIN($M$7:$M$23),INDEX($L$7:$L$23,1),IF(B18&gt;=MAX($M$7:$M$23),INDEX($L$7:$L$23,ROWS($L$7:$L$23)),INDEX($L$7:$L$23,MATCH(B18,$M$7:$M$23,1))+(B18-INDEX($M$7:$M$23,MATCH(B18,$M$7:$M$23,1)))*(INDEX($L$7:$L$23,MATCH(B18,$M$7:$M$23,1)+1)-INDEX($L$7:$L$23,MATCH(B18,$M$7:$M$23,1)))/(INDEX($M$7:$M$23,MATCH(B18,$M$7:$M$23,1)+1)-INDEX($M$7:$M$23,MATCH(B18,$M$7:$M$23,1)))))</x:f>
        <x:v>61.211316860631776</x:v>
      </x:c>
      <x:c r="D18" s="55" t="n">
        <x:f>ROUND(C18,0)</x:f>
        <x:v>61</x:v>
      </x:c>
      <x:c r="E18" s="90" t="n">
        <x:f>D18</x:f>
        <x:v>61</x:v>
      </x:c>
      <x:c r="F18" s="90" t="n">
        <x:f>D18</x:f>
        <x:v>61</x:v>
      </x:c>
      <x:c r="G18" s="90" t="n">
        <x:f>D18</x:f>
        <x:v>61</x:v>
      </x:c>
      <x:c r="H18" s="53" t="n">
        <x:f>IF(D18&lt;=MIN($L$7:$L$23),INDEX($M$7:$M$23,1),IF(D18&gt;=MAX($L$7:$L$23),INDEX($M$7:$M$23,ROWS($L$7:$L$23)),INDEX($M$7:$M$23,MATCH(D18,$L$7:$L$23,1))+(D18-INDEX($L$7:$L$23,MATCH(D18,$L$7:$L$23,1)))*(INDEX($M$7:$M$23,MATCH(D18,$L$7:$L$23,1)+1)-INDEX($M$7:$M$23,MATCH(D18,$L$7:$L$23,1)))/(INDEX($L$7:$L$23,MATCH(D18,$L$7:$L$23,1)+1)-INDEX($L$7:$L$23,MATCH(D18,$L$7:$L$23,1)))))</x:f>
        <x:v>12.848208333333332</x:v>
      </x:c>
      <x:c r="I18" s="53" t="n">
        <x:f>H18-B18</x:f>
        <x:v>-0.07679166666666859</x:v>
      </x:c>
      <x:c r="J18" s="57" t="n">
        <x:f>IF(B18=0,0,ABS(I18)/B18)</x:f>
        <x:v>0.005941328175370877</x:v>
      </x:c>
      <x:c r="K18" s="1"/>
      <x:c r="L18" s="44" t="n">
        <x:v>175</x:v>
      </x:c>
      <x:c r="M18" s="45" t="n">
        <x:v>108.35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52" t="n">
        <x:v>12</x:v>
      </x:c>
      <x:c r="B19" s="53" t="n">
        <x:f>$B$3*A19/$E$3</x:f>
        <x:v>14.1</x:v>
      </x:c>
      <x:c r="C19" s="54" t="n">
        <x:f>IF(B19&lt;=MIN($M$7:$M$23),INDEX($L$7:$L$23,1),IF(B19&gt;=MAX($M$7:$M$23),INDEX($L$7:$L$23,ROWS($L$7:$L$23)),INDEX($L$7:$L$23,MATCH(B19,$M$7:$M$23,1))+(B19-INDEX($M$7:$M$23,MATCH(B19,$M$7:$M$23,1)))*(INDEX($L$7:$L$23,MATCH(B19,$M$7:$M$23,1)+1)-INDEX($L$7:$L$23,MATCH(B19,$M$7:$M$23,1)))/(INDEX($M$7:$M$23,MATCH(B19,$M$7:$M$23,1)+1)-INDEX($M$7:$M$23,MATCH(B19,$M$7:$M$23,1)))))</x:f>
        <x:v>64.11184645929848</x:v>
      </x:c>
      <x:c r="D19" s="55" t="n">
        <x:f>ROUND(C19,0)</x:f>
        <x:v>64</x:v>
      </x:c>
      <x:c r="E19" s="90" t="n">
        <x:f>D19</x:f>
        <x:v>64</x:v>
      </x:c>
      <x:c r="F19" s="90" t="n">
        <x:f>D19</x:f>
        <x:v>64</x:v>
      </x:c>
      <x:c r="G19" s="90" t="n">
        <x:f>D19</x:f>
        <x:v>64</x:v>
      </x:c>
      <x:c r="H19" s="53" t="n">
        <x:f>IF(D19&lt;=MIN($L$7:$L$23),INDEX($M$7:$M$23,1),IF(D19&gt;=MAX($L$7:$L$23),INDEX($M$7:$M$23,ROWS($L$7:$L$23)),INDEX($M$7:$M$23,MATCH(D19,$L$7:$L$23,1))+(D19-INDEX($L$7:$L$23,MATCH(D19,$L$7:$L$23,1)))*(INDEX($M$7:$M$23,MATCH(D19,$L$7:$L$23,1)+1)-INDEX($M$7:$M$23,MATCH(D19,$L$7:$L$23,1)))/(INDEX($L$7:$L$23,MATCH(D19,$L$7:$L$23,1)+1)-INDEX($L$7:$L$23,MATCH(D19,$L$7:$L$23,1)))))</x:f>
        <x:v>14.0471875</x:v>
      </x:c>
      <x:c r="I19" s="53" t="n">
        <x:f>H19-B19</x:f>
        <x:v>-0.05281249999999993</x:v>
      </x:c>
      <x:c r="J19" s="57" t="n">
        <x:f>IF(B19=0,0,ABS(I19)/B19)</x:f>
        <x:v>0.00374556737588652</x:v>
      </x:c>
      <x:c r="K19" s="1"/>
      <x:c r="L19" s="44" t="n">
        <x:v>191</x:v>
      </x:c>
      <x:c r="M19" s="45" t="n">
        <x:v>127.03333333333333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52" t="n">
        <x:v>13</x:v>
      </x:c>
      <x:c r="B20" s="53" t="n">
        <x:f>$B$3*A20/$E$3</x:f>
        <x:v>15.275</x:v>
      </x:c>
      <x:c r="C20" s="54" t="n">
        <x:f>IF(B20&lt;=MIN($M$7:$M$23),INDEX($L$7:$L$23,1),IF(B20&gt;=MAX($M$7:$M$23),INDEX($L$7:$L$23,ROWS($L$7:$L$23)),INDEX($L$7:$L$23,MATCH(B20,$M$7:$M$23,1))+(B20-INDEX($M$7:$M$23,MATCH(B20,$M$7:$M$23,1)))*(INDEX($L$7:$L$23,MATCH(B20,$M$7:$M$23,1)+1)-INDEX($L$7:$L$23,MATCH(B20,$M$7:$M$23,1)))/(INDEX($M$7:$M$23,MATCH(B20,$M$7:$M$23,1)+1)-INDEX($M$7:$M$23,MATCH(B20,$M$7:$M$23,1)))))</x:f>
        <x:v>66.60026472534746</x:v>
      </x:c>
      <x:c r="D20" s="55" t="n">
        <x:f>ROUND(C20,0)</x:f>
        <x:v>67</x:v>
      </x:c>
      <x:c r="E20" s="90" t="n">
        <x:f>D20</x:f>
        <x:v>67</x:v>
      </x:c>
      <x:c r="F20" s="90" t="n">
        <x:f>D20</x:f>
        <x:v>67</x:v>
      </x:c>
      <x:c r="G20" s="90" t="n">
        <x:f>D20</x:f>
        <x:v>67</x:v>
      </x:c>
      <x:c r="H20" s="53" t="n">
        <x:f>IF(D20&lt;=MIN($L$7:$L$23),INDEX($M$7:$M$23,1),IF(D20&gt;=MAX($L$7:$L$23),INDEX($M$7:$M$23,ROWS($L$7:$L$23)),INDEX($M$7:$M$23,MATCH(D20,$L$7:$L$23,1))+(D20-INDEX($L$7:$L$23,MATCH(D20,$L$7:$L$23,1)))*(INDEX($M$7:$M$23,MATCH(D20,$L$7:$L$23,1)+1)-INDEX($M$7:$M$23,MATCH(D20,$L$7:$L$23,1)))/(INDEX($L$7:$L$23,MATCH(D20,$L$7:$L$23,1)+1)-INDEX($L$7:$L$23,MATCH(D20,$L$7:$L$23,1)))))</x:f>
        <x:v>15.46375</x:v>
      </x:c>
      <x:c r="I20" s="53" t="n">
        <x:f>H20-B20</x:f>
        <x:v>0.18874999999999886</x:v>
      </x:c>
      <x:c r="J20" s="57" t="n">
        <x:f>IF(B20=0,0,ABS(I20)/B20)</x:f>
        <x:v>0.012356792144026112</x:v>
      </x:c>
      <x:c r="K20" s="1"/>
      <x:c r="L20" s="44" t="n">
        <x:v>207</x:v>
      </x:c>
      <x:c r="M20" s="45" t="n">
        <x:v>152.81666666666666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52" t="n">
        <x:v>14</x:v>
      </x:c>
      <x:c r="B21" s="53" t="n">
        <x:f>$B$3*A21/$E$3</x:f>
        <x:v>16.45</x:v>
      </x:c>
      <x:c r="C21" s="54" t="n">
        <x:f>IF(B21&lt;=MIN($M$7:$M$23),INDEX($L$7:$L$23,1),IF(B21&gt;=MAX($M$7:$M$23),INDEX($L$7:$L$23,ROWS($L$7:$L$23)),INDEX($L$7:$L$23,MATCH(B21,$M$7:$M$23,1))+(B21-INDEX($M$7:$M$23,MATCH(B21,$M$7:$M$23,1)))*(INDEX($L$7:$L$23,MATCH(B21,$M$7:$M$23,1)+1)-INDEX($L$7:$L$23,MATCH(B21,$M$7:$M$23,1)))/(INDEX($M$7:$M$23,MATCH(B21,$M$7:$M$23,1)+1)-INDEX($M$7:$M$23,MATCH(B21,$M$7:$M$23,1)))))</x:f>
        <x:v>69.08868299139642</x:v>
      </x:c>
      <x:c r="D21" s="55" t="n">
        <x:f>ROUND(C21,0)</x:f>
        <x:v>69</x:v>
      </x:c>
      <x:c r="E21" s="90" t="n">
        <x:f>D21</x:f>
        <x:v>69</x:v>
      </x:c>
      <x:c r="F21" s="90" t="n">
        <x:f>D21</x:f>
        <x:v>69</x:v>
      </x:c>
      <x:c r="G21" s="90" t="n">
        <x:f>D21</x:f>
        <x:v>69</x:v>
      </x:c>
      <x:c r="H21" s="53" t="n">
        <x:f>IF(D21&lt;=MIN($L$7:$L$23),INDEX($M$7:$M$23,1),IF(D21&gt;=MAX($L$7:$L$23),INDEX($M$7:$M$23,ROWS($L$7:$L$23)),INDEX($M$7:$M$23,MATCH(D21,$L$7:$L$23,1))+(D21-INDEX($L$7:$L$23,MATCH(D21,$L$7:$L$23,1)))*(INDEX($M$7:$M$23,MATCH(D21,$L$7:$L$23,1)+1)-INDEX($M$7:$M$23,MATCH(D21,$L$7:$L$23,1)))/(INDEX($L$7:$L$23,MATCH(D21,$L$7:$L$23,1)+1)-INDEX($L$7:$L$23,MATCH(D21,$L$7:$L$23,1)))))</x:f>
        <x:v>16.408125</x:v>
      </x:c>
      <x:c r="I21" s="53" t="n">
        <x:f>H21-B21</x:f>
        <x:v>-0.041875000000000995</x:v>
      </x:c>
      <x:c r="J21" s="57" t="n">
        <x:f>IF(B21=0,0,ABS(I21)/B21)</x:f>
        <x:v>0.002545592705167234</x:v>
      </x:c>
      <x:c r="K21" s="1"/>
      <x:c r="L21" s="44" t="n">
        <x:v>223</x:v>
      </x:c>
      <x:c r="M21" s="45" t="n">
        <x:v>173.76666666666668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52" t="n">
        <x:v>15</x:v>
      </x:c>
      <x:c r="B22" s="53" t="n">
        <x:f>$B$3*A22/$E$3</x:f>
        <x:v>17.625</x:v>
      </x:c>
      <x:c r="C22" s="54" t="n">
        <x:f>IF(B22&lt;=MIN($M$7:$M$23),INDEX($L$7:$L$23,1),IF(B22&gt;=MAX($M$7:$M$23),INDEX($L$7:$L$23,ROWS($L$7:$L$23)),INDEX($L$7:$L$23,MATCH(B22,$M$7:$M$23,1))+(B22-INDEX($M$7:$M$23,MATCH(B22,$M$7:$M$23,1)))*(INDEX($L$7:$L$23,MATCH(B22,$M$7:$M$23,1)+1)-INDEX($L$7:$L$23,MATCH(B22,$M$7:$M$23,1)))/(INDEX($M$7:$M$23,MATCH(B22,$M$7:$M$23,1)+1)-INDEX($M$7:$M$23,MATCH(B22,$M$7:$M$23,1)))))</x:f>
        <x:v>71.5771012574454</x:v>
      </x:c>
      <x:c r="D22" s="55" t="n">
        <x:f>ROUND(C22,0)</x:f>
        <x:v>72</x:v>
      </x:c>
      <x:c r="E22" s="90" t="n">
        <x:f>D22</x:f>
        <x:v>72</x:v>
      </x:c>
      <x:c r="F22" s="90" t="n">
        <x:f>D22</x:f>
        <x:v>72</x:v>
      </x:c>
      <x:c r="G22" s="90" t="n">
        <x:f>D22</x:f>
        <x:v>72</x:v>
      </x:c>
      <x:c r="H22" s="53" t="n">
        <x:f>IF(D22&lt;=MIN($L$7:$L$23),INDEX($M$7:$M$23,1),IF(D22&gt;=MAX($L$7:$L$23),INDEX($M$7:$M$23,ROWS($L$7:$L$23)),INDEX($M$7:$M$23,MATCH(D22,$L$7:$L$23,1))+(D22-INDEX($L$7:$L$23,MATCH(D22,$L$7:$L$23,1)))*(INDEX($M$7:$M$23,MATCH(D22,$L$7:$L$23,1)+1)-INDEX($M$7:$M$23,MATCH(D22,$L$7:$L$23,1)))/(INDEX($L$7:$L$23,MATCH(D22,$L$7:$L$23,1)+1)-INDEX($L$7:$L$23,MATCH(D22,$L$7:$L$23,1)))))</x:f>
        <x:v>17.8246875</x:v>
      </x:c>
      <x:c r="I22" s="53" t="n">
        <x:f>H22-B22</x:f>
        <x:v>0.19968749999999957</x:v>
      </x:c>
      <x:c r="J22" s="57" t="n">
        <x:f>IF(B22=0,0,ABS(I22)/B22)</x:f>
        <x:v>0.01132978723404253</x:v>
      </x:c>
      <x:c r="K22" s="1"/>
      <x:c r="L22" s="44" t="n">
        <x:v>239</x:v>
      </x:c>
      <x:c r="M22" s="45" t="n">
        <x:v>200.15000000000003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52" t="n">
        <x:v>16</x:v>
      </x:c>
      <x:c r="B23" s="53" t="n">
        <x:f>$B$3*A23/$E$3</x:f>
        <x:v>18.8</x:v>
      </x:c>
      <x:c r="C23" s="54" t="n">
        <x:f>IF(B23&lt;=MIN($M$7:$M$23),INDEX($L$7:$L$23,1),IF(B23&gt;=MAX($M$7:$M$23),INDEX($L$7:$L$23,ROWS($L$7:$L$23)),INDEX($L$7:$L$23,MATCH(B23,$M$7:$M$23,1))+(B23-INDEX($M$7:$M$23,MATCH(B23,$M$7:$M$23,1)))*(INDEX($L$7:$L$23,MATCH(B23,$M$7:$M$23,1)+1)-INDEX($L$7:$L$23,MATCH(B23,$M$7:$M$23,1)))/(INDEX($M$7:$M$23,MATCH(B23,$M$7:$M$23,1)+1)-INDEX($M$7:$M$23,MATCH(B23,$M$7:$M$23,1)))))</x:f>
        <x:v>74.06551952349437</x:v>
      </x:c>
      <x:c r="D23" s="55" t="n">
        <x:f>ROUND(C23,0)</x:f>
        <x:v>74</x:v>
      </x:c>
      <x:c r="E23" s="90" t="n">
        <x:f>D23</x:f>
        <x:v>74</x:v>
      </x:c>
      <x:c r="F23" s="90" t="n">
        <x:f>D23</x:f>
        <x:v>74</x:v>
      </x:c>
      <x:c r="G23" s="90" t="n">
        <x:f>D23</x:f>
        <x:v>74</x:v>
      </x:c>
      <x:c r="H23" s="53" t="n">
        <x:f>IF(D23&lt;=MIN($L$7:$L$23),INDEX($M$7:$M$23,1),IF(D23&gt;=MAX($L$7:$L$23),INDEX($M$7:$M$23,ROWS($L$7:$L$23)),INDEX($M$7:$M$23,MATCH(D23,$L$7:$L$23,1))+(D23-INDEX($L$7:$L$23,MATCH(D23,$L$7:$L$23,1)))*(INDEX($M$7:$M$23,MATCH(D23,$L$7:$L$23,1)+1)-INDEX($M$7:$M$23,MATCH(D23,$L$7:$L$23,1)))/(INDEX($L$7:$L$23,MATCH(D23,$L$7:$L$23,1)+1)-INDEX($L$7:$L$23,MATCH(D23,$L$7:$L$23,1)))))</x:f>
        <x:v>18.769062499999997</x:v>
      </x:c>
      <x:c r="I23" s="53" t="n">
        <x:f>H23-B23</x:f>
        <x:v>-0.030937500000003837</x:v>
      </x:c>
      <x:c r="J23" s="57" t="n">
        <x:f>IF(B23=0,0,ABS(I23)/B23)</x:f>
        <x:v>0.0016456117021278636</x:v>
      </x:c>
      <x:c r="K23" s="1"/>
      <x:c r="L23" s="44" t="n">
        <x:v>255</x:v>
      </x:c>
      <x:c r="M23" s="45" t="n">
        <x:v>213.74999999999997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52" t="n">
        <x:v>17</x:v>
      </x:c>
      <x:c r="B24" s="53" t="n">
        <x:f>$B$3*A24/$E$3</x:f>
        <x:v>19.975</x:v>
      </x:c>
      <x:c r="C24" s="54" t="n">
        <x:f>IF(B24&lt;=MIN($M$7:$M$23),INDEX($L$7:$L$23,1),IF(B24&gt;=MAX($M$7:$M$23),INDEX($L$7:$L$23,ROWS($L$7:$L$23)),INDEX($L$7:$L$23,MATCH(B24,$M$7:$M$23,1))+(B24-INDEX($M$7:$M$23,MATCH(B24,$M$7:$M$23,1)))*(INDEX($L$7:$L$23,MATCH(B24,$M$7:$M$23,1)+1)-INDEX($L$7:$L$23,MATCH(B24,$M$7:$M$23,1)))/(INDEX($M$7:$M$23,MATCH(B24,$M$7:$M$23,1)+1)-INDEX($M$7:$M$23,MATCH(B24,$M$7:$M$23,1)))))</x:f>
        <x:v>76.55393778954335</x:v>
      </x:c>
      <x:c r="D24" s="55" t="n">
        <x:f>ROUND(C24,0)</x:f>
        <x:v>77</x:v>
      </x:c>
      <x:c r="E24" s="90" t="n">
        <x:f>D24</x:f>
        <x:v>77</x:v>
      </x:c>
      <x:c r="F24" s="90" t="n">
        <x:f>D24</x:f>
        <x:v>77</x:v>
      </x:c>
      <x:c r="G24" s="90" t="n">
        <x:f>D24</x:f>
        <x:v>77</x:v>
      </x:c>
      <x:c r="H24" s="53" t="n">
        <x:f>IF(D24&lt;=MIN($L$7:$L$23),INDEX($M$7:$M$23,1),IF(D24&gt;=MAX($L$7:$L$23),INDEX($M$7:$M$23,ROWS($L$7:$L$23)),INDEX($M$7:$M$23,MATCH(D24,$L$7:$L$23,1))+(D24-INDEX($L$7:$L$23,MATCH(D24,$L$7:$L$23,1)))*(INDEX($M$7:$M$23,MATCH(D24,$L$7:$L$23,1)+1)-INDEX($M$7:$M$23,MATCH(D24,$L$7:$L$23,1)))/(INDEX($L$7:$L$23,MATCH(D24,$L$7:$L$23,1)+1)-INDEX($L$7:$L$23,MATCH(D24,$L$7:$L$23,1)))))</x:f>
        <x:v>20.185624999999998</x:v>
      </x:c>
      <x:c r="I24" s="53" t="n">
        <x:f>H24-B24</x:f>
        <x:v>0.21062499999999673</x:v>
      </x:c>
      <x:c r="J24" s="57" t="n">
        <x:f>IF(B24=0,0,ABS(I24)/B24)</x:f>
        <x:v>0.010544430538172552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52" t="n">
        <x:v>18</x:v>
      </x:c>
      <x:c r="B25" s="53" t="n">
        <x:f>$B$3*A25/$E$3</x:f>
        <x:v>21.15</x:v>
      </x:c>
      <x:c r="C25" s="54" t="n">
        <x:f>IF(B25&lt;=MIN($M$7:$M$23),INDEX($L$7:$L$23,1),IF(B25&gt;=MAX($M$7:$M$23),INDEX($L$7:$L$23,ROWS($L$7:$L$23)),INDEX($L$7:$L$23,MATCH(B25,$M$7:$M$23,1))+(B25-INDEX($M$7:$M$23,MATCH(B25,$M$7:$M$23,1)))*(INDEX($L$7:$L$23,MATCH(B25,$M$7:$M$23,1)+1)-INDEX($L$7:$L$23,MATCH(B25,$M$7:$M$23,1)))/(INDEX($M$7:$M$23,MATCH(B25,$M$7:$M$23,1)+1)-INDEX($M$7:$M$23,MATCH(B25,$M$7:$M$23,1)))))</x:f>
        <x:v>79.0305294959453</x:v>
      </x:c>
      <x:c r="D25" s="55" t="n">
        <x:f>ROUND(C25,0)</x:f>
        <x:v>79</x:v>
      </x:c>
      <x:c r="E25" s="90" t="n">
        <x:f>D25</x:f>
        <x:v>79</x:v>
      </x:c>
      <x:c r="F25" s="90" t="n">
        <x:f>D25</x:f>
        <x:v>79</x:v>
      </x:c>
      <x:c r="G25" s="90" t="n">
        <x:f>D25</x:f>
        <x:v>79</x:v>
      </x:c>
      <x:c r="H25" s="53" t="n">
        <x:f>IF(D25&lt;=MIN($L$7:$L$23),INDEX($M$7:$M$23,1),IF(D25&gt;=MAX($L$7:$L$23),INDEX($M$7:$M$23,ROWS($L$7:$L$23)),INDEX($M$7:$M$23,MATCH(D25,$L$7:$L$23,1))+(D25-INDEX($L$7:$L$23,MATCH(D25,$L$7:$L$23,1)))*(INDEX($M$7:$M$23,MATCH(D25,$L$7:$L$23,1)+1)-INDEX($M$7:$M$23,MATCH(D25,$L$7:$L$23,1)))/(INDEX($L$7:$L$23,MATCH(D25,$L$7:$L$23,1)+1)-INDEX($L$7:$L$23,MATCH(D25,$L$7:$L$23,1)))))</x:f>
        <x:v>21.13</x:v>
      </x:c>
      <x:c r="I25" s="53" t="n">
        <x:f>H25-B25</x:f>
        <x:v>-0.019999999999999574</x:v>
      </x:c>
      <x:c r="J25" s="57" t="n">
        <x:f>IF(B25=0,0,ABS(I25)/B25)</x:f>
        <x:v>0.0009456264775413511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52" t="n">
        <x:v>19</x:v>
      </x:c>
      <x:c r="B26" s="53" t="n">
        <x:f>$B$3*A26/$E$3</x:f>
        <x:v>22.325</x:v>
      </x:c>
      <x:c r="C26" s="54" t="n">
        <x:f>IF(B26&lt;=MIN($M$7:$M$23),INDEX($L$7:$L$23,1),IF(B26&gt;=MAX($M$7:$M$23),INDEX($L$7:$L$23,ROWS($L$7:$L$23)),INDEX($L$7:$L$23,MATCH(B26,$M$7:$M$23,1))+(B26-INDEX($M$7:$M$23,MATCH(B26,$M$7:$M$23,1)))*(INDEX($L$7:$L$23,MATCH(B26,$M$7:$M$23,1)+1)-INDEX($L$7:$L$23,MATCH(B26,$M$7:$M$23,1)))/(INDEX($M$7:$M$23,MATCH(B26,$M$7:$M$23,1)+1)-INDEX($M$7:$M$23,MATCH(B26,$M$7:$M$23,1)))))</x:f>
        <x:v>80.82413738273175</x:v>
      </x:c>
      <x:c r="D26" s="55" t="n">
        <x:f>ROUND(C26,0)</x:f>
        <x:v>81</x:v>
      </x:c>
      <x:c r="E26" s="90" t="n">
        <x:f>D26</x:f>
        <x:v>81</x:v>
      </x:c>
      <x:c r="F26" s="90" t="n">
        <x:f>D26</x:f>
        <x:v>81</x:v>
      </x:c>
      <x:c r="G26" s="90" t="n">
        <x:f>D26</x:f>
        <x:v>81</x:v>
      </x:c>
      <x:c r="H26" s="53" t="n">
        <x:f>IF(D26&lt;=MIN($L$7:$L$23),INDEX($M$7:$M$23,1),IF(D26&gt;=MAX($L$7:$L$23),INDEX($M$7:$M$23,ROWS($L$7:$L$23)),INDEX($M$7:$M$23,MATCH(D26,$L$7:$L$23,1))+(D26-INDEX($L$7:$L$23,MATCH(D26,$L$7:$L$23,1)))*(INDEX($M$7:$M$23,MATCH(D26,$L$7:$L$23,1)+1)-INDEX($M$7:$M$23,MATCH(D26,$L$7:$L$23,1)))/(INDEX($L$7:$L$23,MATCH(D26,$L$7:$L$23,1)+1)-INDEX($L$7:$L$23,MATCH(D26,$L$7:$L$23,1)))))</x:f>
        <x:v>22.440208333333334</x:v>
      </x:c>
      <x:c r="I26" s="53" t="n">
        <x:f>H26-B26</x:f>
        <x:v>0.11520833333333513</x:v>
      </x:c>
      <x:c r="J26" s="57" t="n">
        <x:f>IF(B26=0,0,ABS(I26)/B26)</x:f>
        <x:v>0.005160507652109077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52" t="n">
        <x:v>20</x:v>
      </x:c>
      <x:c r="B27" s="53" t="n">
        <x:f>$B$3*A27/$E$3</x:f>
        <x:v>23.5</x:v>
      </x:c>
      <x:c r="C27" s="54" t="n">
        <x:f>IF(B27&lt;=MIN($M$7:$M$23),INDEX($L$7:$L$23,1),IF(B27&gt;=MAX($M$7:$M$23),INDEX($L$7:$L$23,ROWS($L$7:$L$23)),INDEX($L$7:$L$23,MATCH(B27,$M$7:$M$23,1))+(B27-INDEX($M$7:$M$23,MATCH(B27,$M$7:$M$23,1)))*(INDEX($L$7:$L$23,MATCH(B27,$M$7:$M$23,1)+1)-INDEX($L$7:$L$23,MATCH(B27,$M$7:$M$23,1)))/(INDEX($M$7:$M$23,MATCH(B27,$M$7:$M$23,1)+1)-INDEX($M$7:$M$23,MATCH(B27,$M$7:$M$23,1)))))</x:f>
        <x:v>82.61774526951821</x:v>
      </x:c>
      <x:c r="D27" s="55" t="n">
        <x:f>ROUND(C27,0)</x:f>
        <x:v>83</x:v>
      </x:c>
      <x:c r="E27" s="90" t="n">
        <x:f>D27</x:f>
        <x:v>83</x:v>
      </x:c>
      <x:c r="F27" s="90" t="n">
        <x:f>D27</x:f>
        <x:v>83</x:v>
      </x:c>
      <x:c r="G27" s="90" t="n">
        <x:f>D27</x:f>
        <x:v>83</x:v>
      </x:c>
      <x:c r="H27" s="53" t="n">
        <x:f>IF(D27&lt;=MIN($L$7:$L$23),INDEX($M$7:$M$23,1),IF(D27&gt;=MAX($L$7:$L$23),INDEX($M$7:$M$23,ROWS($L$7:$L$23)),INDEX($M$7:$M$23,MATCH(D27,$L$7:$L$23,1))+(D27-INDEX($L$7:$L$23,MATCH(D27,$L$7:$L$23,1)))*(INDEX($M$7:$M$23,MATCH(D27,$L$7:$L$23,1)+1)-INDEX($M$7:$M$23,MATCH(D27,$L$7:$L$23,1)))/(INDEX($L$7:$L$23,MATCH(D27,$L$7:$L$23,1)+1)-INDEX($L$7:$L$23,MATCH(D27,$L$7:$L$23,1)))))</x:f>
        <x:v>23.750416666666666</x:v>
      </x:c>
      <x:c r="I27" s="53" t="n">
        <x:f>H27-B27</x:f>
        <x:v>0.2504166666666663</x:v>
      </x:c>
      <x:c r="J27" s="57" t="n">
        <x:f>IF(B27=0,0,ABS(I27)/B27)</x:f>
        <x:v>0.01065602836879431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</x:sheetData>
  <x:mergeCells>
    <x:mergeCell ref="A1:J1"/>
    <x:mergeCell ref="A2:J2"/>
    <x:mergeCell ref="A4:J4"/>
  </x:mergeCells>
  <x:conditionalFormatting sqref="J7:J27">
    <x:cfRule type="colorScale" priority="1">
      <x:colorScale>
        <x:cfvo type="min"/>
        <x:cfvo type="percentile" val="50"/>
        <x:cfvo type="max"/>
        <x:color rgb="FFE8F5E9"/>
        <x:color rgb="FFFFF4CC"/>
        <x:color rgb="FFFADBD8"/>
      </x:colorScale>
    </x:cfRule>
  </x:conditionalFormatting>
  <x:pageMargins left="0.7" right="0.7" top="0.75" bottom="0.75" header="0.3" footer="0.3"/>
</x:worksheet>
</file>